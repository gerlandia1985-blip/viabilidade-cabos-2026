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/>
  <mc:AlternateContent xmlns:mc="http://schemas.openxmlformats.org/markup-compatibility/2006">
    <mc:Choice Requires="x15">
      <x15ac:absPath xmlns:x15ac="http://schemas.microsoft.com/office/spreadsheetml/2010/11/ac" url="H:\Meu Drive\MAXFIO CONDUTORES ELETRICOS 37226584.0001.28\COMERCIAL\"/>
    </mc:Choice>
  </mc:AlternateContent>
  <xr:revisionPtr revIDLastSave="0" documentId="13_ncr:1_{89363984-D8F3-4916-A906-A75F43F8373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TABELA FLEX E PP 06.2025" sheetId="1" r:id="rId1"/>
    <sheet name="TABELA ALFA E AUTOFLEX 06.2025" sheetId="3" r:id="rId2"/>
    <sheet name="TABELA ATUA 06.2025" sheetId="2" r:id="rId3"/>
    <sheet name="ANDREI 1KV" sheetId="4" state="hidden" r:id="rId4"/>
    <sheet name="TABELA ATUA Gislei" sheetId="5" state="hidden" r:id="rId5"/>
    <sheet name=" Tab FLex e PP Gislei (2)" sheetId="6" state="hidden" r:id="rId6"/>
  </sheets>
  <externalReferences>
    <externalReference r:id="rId7"/>
  </externalReferences>
  <calcPr calcId="181029" iterateCount="1"/>
  <extLst>
    <ext uri="GoogleSheetsCustomDataVersion2">
      <go:sheetsCustomData xmlns:go="http://customooxmlschemas.google.com/" r:id="rId12" roundtripDataChecksum="SP0OZRHcg2YUBv2CsKxZsgbX9xO7ddFqKftpl0MV0ME="/>
    </ext>
  </extLst>
</workbook>
</file>

<file path=xl/calcChain.xml><?xml version="1.0" encoding="utf-8"?>
<calcChain xmlns="http://schemas.openxmlformats.org/spreadsheetml/2006/main">
  <c r="C4" i="3" l="1"/>
  <c r="C8" i="2"/>
  <c r="D32" i="2" l="1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31" i="2"/>
  <c r="C46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31" i="2"/>
  <c r="C47" i="2"/>
  <c r="C48" i="2"/>
  <c r="C49" i="2"/>
  <c r="C50" i="2"/>
  <c r="C51" i="2"/>
  <c r="C52" i="2"/>
  <c r="C53" i="2"/>
  <c r="C54" i="2"/>
  <c r="C55" i="2"/>
  <c r="C57" i="2"/>
  <c r="C56" i="2"/>
  <c r="J11" i="4" l="1"/>
  <c r="C11" i="4" s="1"/>
  <c r="J10" i="4"/>
  <c r="C10" i="4" s="1"/>
  <c r="J9" i="4"/>
  <c r="C9" i="4" s="1"/>
  <c r="J8" i="4"/>
  <c r="C8" i="4"/>
  <c r="J7" i="4"/>
  <c r="C7" i="4" s="1"/>
  <c r="J6" i="4"/>
  <c r="C6" i="4"/>
  <c r="J5" i="4"/>
  <c r="C5" i="4" s="1"/>
  <c r="C7" i="2"/>
  <c r="C19" i="2" l="1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18" i="2"/>
  <c r="D18" i="2" s="1"/>
  <c r="C22" i="3" l="1"/>
  <c r="C5" i="3"/>
  <c r="C8" i="3" l="1"/>
  <c r="C7" i="3"/>
  <c r="C6" i="3"/>
  <c r="C19" i="3"/>
  <c r="C20" i="3"/>
  <c r="C18" i="3"/>
  <c r="C17" i="3"/>
  <c r="C16" i="3"/>
  <c r="C15" i="3"/>
  <c r="C10" i="3"/>
  <c r="C14" i="3"/>
  <c r="C13" i="3"/>
  <c r="C12" i="3"/>
  <c r="C11" i="3"/>
  <c r="C9" i="3"/>
  <c r="C23" i="3"/>
  <c r="C24" i="3"/>
  <c r="C25" i="3"/>
  <c r="C26" i="3"/>
  <c r="C27" i="3"/>
  <c r="C28" i="3"/>
  <c r="C29" i="3"/>
  <c r="C30" i="3"/>
  <c r="C8" i="1" l="1"/>
  <c r="D8" i="1" s="1"/>
  <c r="C44" i="1" l="1"/>
  <c r="C37" i="1"/>
  <c r="C7" i="1" l="1"/>
  <c r="D7" i="1" s="1"/>
  <c r="C12" i="1"/>
  <c r="D12" i="1" s="1"/>
  <c r="C28" i="1"/>
  <c r="C29" i="1"/>
  <c r="C15" i="2" l="1"/>
  <c r="C14" i="2"/>
  <c r="C12" i="2"/>
  <c r="D16" i="2"/>
  <c r="D14" i="2"/>
  <c r="D12" i="2"/>
  <c r="D11" i="2"/>
  <c r="D13" i="2" l="1"/>
  <c r="D15" i="2"/>
  <c r="C10" i="1" l="1"/>
  <c r="D10" i="1" s="1"/>
  <c r="C6" i="1"/>
  <c r="D6" i="1" s="1"/>
  <c r="C5" i="1"/>
  <c r="D5" i="1" s="1"/>
  <c r="C13" i="2"/>
  <c r="C14" i="1" l="1"/>
  <c r="C41" i="1"/>
  <c r="C30" i="1"/>
  <c r="C16" i="2"/>
  <c r="C35" i="1"/>
  <c r="C4" i="1"/>
  <c r="D4" i="1" s="1"/>
  <c r="C11" i="2" l="1"/>
  <c r="C25" i="1"/>
  <c r="C40" i="1"/>
  <c r="C36" i="1"/>
  <c r="C26" i="1"/>
  <c r="C34" i="1"/>
  <c r="C31" i="1"/>
  <c r="C42" i="1"/>
  <c r="C20" i="1"/>
  <c r="C32" i="1"/>
  <c r="C9" i="1"/>
  <c r="D9" i="1" s="1"/>
  <c r="C47" i="1"/>
  <c r="C18" i="1"/>
  <c r="C10" i="2"/>
  <c r="C21" i="1"/>
  <c r="C23" i="1"/>
  <c r="C45" i="1" l="1"/>
  <c r="C24" i="1"/>
  <c r="C22" i="1"/>
  <c r="C43" i="1"/>
  <c r="C15" i="1"/>
  <c r="C29" i="2"/>
  <c r="D29" i="2" s="1"/>
  <c r="C39" i="1"/>
  <c r="C38" i="1"/>
  <c r="C16" i="1"/>
  <c r="C50" i="1"/>
  <c r="C11" i="1"/>
  <c r="D11" i="1" s="1"/>
  <c r="C27" i="1"/>
  <c r="C49" i="1"/>
  <c r="C17" i="1"/>
  <c r="C46" i="1"/>
  <c r="C33" i="1"/>
  <c r="C48" i="1" l="1"/>
  <c r="C51" i="1" l="1"/>
</calcChain>
</file>

<file path=xl/sharedStrings.xml><?xml version="1.0" encoding="utf-8"?>
<sst xmlns="http://schemas.openxmlformats.org/spreadsheetml/2006/main" count="673" uniqueCount="317">
  <si>
    <t>PROPOSTA DE FORNECIMENTO DE CONDUTORES ELÉTRICOS</t>
  </si>
  <si>
    <t>CABO FLEXIVEL 450/750V NBR 247</t>
  </si>
  <si>
    <t>UNID</t>
  </si>
  <si>
    <t>VALOR UNIT</t>
  </si>
  <si>
    <t>C/1kv 90</t>
  </si>
  <si>
    <t>CABO ELETRICO FLEX 0,50MM MAXFIO 450/750V NBR427 100M</t>
  </si>
  <si>
    <t>RL</t>
  </si>
  <si>
    <t>CABO ELETRICO FLEX 0,75MM MAXFIO 450/750V NBR427 100M</t>
  </si>
  <si>
    <t>CABO ELETRICO FLEX 1,0MM MAXFIO 450/750V NBR427 100M</t>
  </si>
  <si>
    <t>CABO ELETRICO FLEX 1,5MM MAXFIO 450/750V NBR427 100M</t>
  </si>
  <si>
    <t>CABO ELETRICO FLEX 2,5MM MAXFIO 450/750V NBR427 100M</t>
  </si>
  <si>
    <t>CABO ELETRICO FLEX 4,0MM MAXFIO 450/750V NBR427 100M</t>
  </si>
  <si>
    <t>CABO ELETRICO FLEX 6,0MM MAXFIO 450/750V NBR427 100M</t>
  </si>
  <si>
    <t>CABO ELETRICO FLEX 10,0MM MAXFIO 450/750V NBR427 100M</t>
  </si>
  <si>
    <t>CABO ELETRICO FLEX 16,0MM MAXFIO 450/750V NBR427 100M</t>
  </si>
  <si>
    <t>CORDÃO PARALELO FLEXIVEL 300V NBR 247</t>
  </si>
  <si>
    <t>CORDAO PARALELO 2X0,75MM BRANCO MAXFIO 300V NBR247 100M</t>
  </si>
  <si>
    <t>CORDAO PARALELO 2X1,0MM BRANCO MAXFIO 300V NBR247 100M</t>
  </si>
  <si>
    <t>CORDAO PARALELO 2X1,5MM BRANCO MAXFIO 300V NBR247 100M</t>
  </si>
  <si>
    <t>CORDAO PARALELO 2X2,5MM BRANCO MAXFIO 300V NBR247 100M</t>
  </si>
  <si>
    <t>CORDAO PARALELO 2X4,0MM BRANCO MAXFIO 300V NBR247 100M</t>
  </si>
  <si>
    <t>CABO FLEXIVEL PP 500V /Cabo de Controle</t>
  </si>
  <si>
    <t>VALOR 1KV/500V</t>
  </si>
  <si>
    <t>CABO PP 2X1,0MM PRETO MAXFIO 100M</t>
  </si>
  <si>
    <t>CABO PP 2X1,5MM PRETO MAXFIO 100M</t>
  </si>
  <si>
    <t>CABO PP 2X2,5MM PRETO MAXFIO 100M</t>
  </si>
  <si>
    <t>CABO PP 2X4,0MM PRETO MAXFIO 100M</t>
  </si>
  <si>
    <t>CABO PP 2X6,0MM PRETO MAXFIO 100M</t>
  </si>
  <si>
    <t>CABO PP 2X10,0MM PRETO MAXFIO 100M</t>
  </si>
  <si>
    <t>CABO PP 2X16,0MM PRETO MAXFIO 100M</t>
  </si>
  <si>
    <t>CABO PP 3X1,0MM PRETO MAXFIO 100M</t>
  </si>
  <si>
    <t>CABO PP 3X1,5MM PRETO MAXFIO 100M</t>
  </si>
  <si>
    <t>CABO PP 3X2,5MM PRETO MAXFIO 100M</t>
  </si>
  <si>
    <t>CABO PP 3X4,0MM PRETO MAXFIO 100M</t>
  </si>
  <si>
    <t>CABO PP 3X6,0MM PRETO MAXFIO 100M</t>
  </si>
  <si>
    <t>CABO PP 3X10MM PRETO MAXFIO 100M</t>
  </si>
  <si>
    <t>CABO PP 3X16MM PRETO MAXFIO 100M</t>
  </si>
  <si>
    <t>CABO PP 4X1,0MM PRETO MAXFIO 100M</t>
  </si>
  <si>
    <t>CABO PP 4X1,5MM PRETO MAXFIO 100M</t>
  </si>
  <si>
    <t>CABO PP 4X2,5MM PRETO MAXFIO 100M</t>
  </si>
  <si>
    <t>CABO PP 4X4,0MM PRETO MAXFIO 100M</t>
  </si>
  <si>
    <t>CABO PP 4X6,0MM PRETO MAXFIO 100M</t>
  </si>
  <si>
    <t>CABO PP 4X10,0MM PRETO MAXFIO 100M</t>
  </si>
  <si>
    <t>CABO PP 4X16,0MM PRETO MAXFIO 100M</t>
  </si>
  <si>
    <t>CABO PP 5X1,0MM PRETO MAXFIO 100M</t>
  </si>
  <si>
    <t>CABO PP 5X1,5MM PRETO MAXFIO 100M</t>
  </si>
  <si>
    <t>CABO PP 5X2,5MM PRETO MAXFIO 100M</t>
  </si>
  <si>
    <t>CABO PP 6X1,0MM PRETO MAXFIO 100M</t>
  </si>
  <si>
    <t>CABO PP 6X1,5MM PRETO MAXFIO 100M</t>
  </si>
  <si>
    <t>CABO PP 6X2,5MM PRETO MAXFIO 100M</t>
  </si>
  <si>
    <t>CABO PP 7X1,0MM PRETO MAXFIO 100M</t>
  </si>
  <si>
    <t>CABO PP 7X1,5MM PRETO MAXFIO 100M</t>
  </si>
  <si>
    <t>CABO PP 7X2,5MM PRETO MAXFIO 100M</t>
  </si>
  <si>
    <t>DATA: 30/04/2024</t>
  </si>
  <si>
    <t>OBS: CONDIÇÃO DE PAGAMENTO A NEGOCIAR, ENTREGA CIF, PRAZO DE ENTREGA VARIA DE 7 A 12 DIAS O MESMO DEVE SER ACORDADO NO FECHMETO DO PEDIDO VALORES PARA PEDIDOS COM MIX DE PRODUTOS . VALORES SUJEITOS A ALTERAÇÃO CONFORME COTAÇÃO DO DOLAR E COBRE A CADA 10 A 12 DIAS</t>
  </si>
  <si>
    <t>DESCRIÇÃO</t>
  </si>
  <si>
    <t>VALORES</t>
  </si>
  <si>
    <t>FIO SOLIDO DE 10,MM</t>
  </si>
  <si>
    <t>FIO SOLIDO ELETRICO 10,0MM PRETO</t>
  </si>
  <si>
    <t>M</t>
  </si>
  <si>
    <t>CABO FOTOVOLTAICO (SOLAR)</t>
  </si>
  <si>
    <t>CABO SOLAR ATOX FLEX 1,8KV C.C 4MM (PRETO OU VERMELHO</t>
  </si>
  <si>
    <t>CABO SOLAR ATOX FLEX 1,8KV C.C 6MM (PRETO OU VERMELHO</t>
  </si>
  <si>
    <t>COBRE NÚ FIO 1,45mm ou 1,83mm</t>
  </si>
  <si>
    <t>7 Pernas</t>
  </si>
  <si>
    <t>CABO ELETRICO DE COBRE NU 10,0MM METRO</t>
  </si>
  <si>
    <t>CABO ELETRICO DE COBRE NU 16,0MM METRO</t>
  </si>
  <si>
    <t>CABO ELETRICO DE COBRE NU 25,0MM METRO</t>
  </si>
  <si>
    <t>CABO ELETRICO DE COBRE NU 35,0MM METRO</t>
  </si>
  <si>
    <t>CABO ELETRICO DE COBRE NU 50,0MM METRO</t>
  </si>
  <si>
    <t>CABO ELETRICO DE COBRE NU 70,0MM METRO</t>
  </si>
  <si>
    <t>CABO ELETRICO DE COBRE NU 95,0MM METRO</t>
  </si>
  <si>
    <t>FLEX HEPR 1KV</t>
  </si>
  <si>
    <t>P/Metro</t>
  </si>
  <si>
    <t>CABO ELETRICO FLEX HEPR 10,0MM PRETO 1KV 90º</t>
  </si>
  <si>
    <t>CABO ELETRICO FLEX HEPR 16,0MM PRETO 1KV 90º</t>
  </si>
  <si>
    <t>CABO ELETRICO FLEX HEPR 25,0MM PRETO 1KV 90º</t>
  </si>
  <si>
    <t>CABO ELETRICO FLEX HEPR 35,0MM PRETO 1KV 90º</t>
  </si>
  <si>
    <t>CABO ELETRICO FLEX HEPR 50,0MM PRETO 1KV 90º</t>
  </si>
  <si>
    <t>CABO ELETRICO FLEX HEPR 70,0MM PRETO 1KV 90º</t>
  </si>
  <si>
    <t>CABO ELETRICO FLEX HEPR 95,0MM PRETO 1KV 90º</t>
  </si>
  <si>
    <t>CABO ELETRICO FLEX HEPR 120,0MM PRETO 1KV 90º</t>
  </si>
  <si>
    <t>CABO ELETRICO FLEX HEPR 150,0MM PRETO 1KV 90º</t>
  </si>
  <si>
    <t>CABO ELETRICO FLEX HEPR 185,0MM PRETO 1KV 90º</t>
  </si>
  <si>
    <t>CABO ELETRICO FLEX HEPR 240,0MM PRETO 1KV 90º</t>
  </si>
  <si>
    <t>CABO ELETRICO FLEX HEPR 300,0MM PRETO 1KV 90º</t>
  </si>
  <si>
    <t>ALUMÍNIO MULTIPLEX</t>
  </si>
  <si>
    <t>NEUTRO ISOLADO</t>
  </si>
  <si>
    <t>CABO ALUMINIO DUPLEX 1X1X10MM+10MM DIV METRO</t>
  </si>
  <si>
    <t>CABO ALUMINIO DUPLEX 1X1X16MM+16MM DIV METRO</t>
  </si>
  <si>
    <t>CABO ALUMINIO DUPLEX 1X1X25MM+25MM DIV METRO</t>
  </si>
  <si>
    <t>CABO ALUMINIO DUPLEX 1X1X35MM+35MM DIV METRO</t>
  </si>
  <si>
    <t>CABO ALUMINIO TRIPLEX 2X1X10MM+10MM DIV METRO</t>
  </si>
  <si>
    <t>CABO ALUMINIO TRIPLEX 2X1X16MM+16MM DIV METRO</t>
  </si>
  <si>
    <t>CABO ALUMINIO TRIPLEX 2X1X25MM+25MM DIV METRO</t>
  </si>
  <si>
    <t>CABO ALUMINIO TRIPLEX 2X1X35MM+35MM DIV METRO</t>
  </si>
  <si>
    <t>CABO ALUMINIO QUADRUPLEX 3X1X16MM+16MM DIV METRO</t>
  </si>
  <si>
    <t>CABO ALUMINIO QUADRUPLEX 3X1X25MM+25MM DIV METRO</t>
  </si>
  <si>
    <t>CABO ALUMINIO QUADRUPLEX 3X1X35MM+35MM DIV METRO</t>
  </si>
  <si>
    <t>CABO ALUMINIO QUADRUPLEX 3X1X50MM+50MM DIV METRO</t>
  </si>
  <si>
    <t>CABO ALUMINIO QUADRUPLEX 3X1X70MM+70MM DIV METRO</t>
  </si>
  <si>
    <t>CABO ALUMINIO QUADRUPLEX 3X1X95MM+95MM DIV METRO</t>
  </si>
  <si>
    <t>CABO ALUMINIO QUADRUPLEX 3X1X120MM+70MM DIV METRO</t>
  </si>
  <si>
    <t>CABO ALUMINIO SINGELO XLPE 1KV 16MM DIV METRO</t>
  </si>
  <si>
    <t>CABO ALUMINIO SINGELO XLPE 1KV 25MM DIV METRO</t>
  </si>
  <si>
    <t>R$ 2,95</t>
  </si>
  <si>
    <t>CABO ALUMINIO SINGELO XLPE 1KV 35MM DIV METRO</t>
  </si>
  <si>
    <t>CABO ALUMINIO SINGELO XLPE 1KV 50MM DIV METRO</t>
  </si>
  <si>
    <t>CABO ALUMINIO SINGELO XLPE 1KV 70MM DIV METRO</t>
  </si>
  <si>
    <t>CABO ALUMINIO SINGELO XLPE 1KV 95MM DIV METRO</t>
  </si>
  <si>
    <t>CABO ALUMINIO SINGELO XLPE 1KV 120MM DIV METRO</t>
  </si>
  <si>
    <t>CABO ALUMINIO SINGELO XLPE 1KV 150MM DIV METRO</t>
  </si>
  <si>
    <t>CABO ALUMINIO SINGELO XLPE 1KV 185MM DIV METRO</t>
  </si>
  <si>
    <t>CABO ALUMINIO SINGELO XLPE 1KV 240MM DIV METRO</t>
  </si>
  <si>
    <t>OBS: CONDIÇÃO DE PAGAMENTO A NEGOCIAR, ENTREGA CIF, PRAZO DE ENTREGA VARIA DE 7 A 12 DIAS O MESMO DEVE SER ACORDADO NO FECHAMETO DO PEDIDO VALORES PARA PEDIDOS COM MIX DE PRODUTOS . VALORES SUJEITOS A ALTERAÇÃO CONFORME COTAÇÃO DO DOLAR E COBRE A CADA 10 A 12DIAS</t>
  </si>
  <si>
    <t>CABO ELETRICO FLEXIVEL 1,5MM ALFA 100M</t>
  </si>
  <si>
    <t>CABO ELETRICO FLEXIVEL 2,5MM ALFA 100M</t>
  </si>
  <si>
    <t>CABO ELETRICO FLEXIVEL 4,0MM ALFA 100M</t>
  </si>
  <si>
    <t>CABO ELETRICO FLEXIVEL 6,0MM ALFA 100M</t>
  </si>
  <si>
    <t>CABO ELETRICO FLEXIVEL 10,0MM ALFA 100M</t>
  </si>
  <si>
    <t>CABO ELETRICO FLEXIVEL 16,0MM ALFA 100M</t>
  </si>
  <si>
    <t>CORDAO PARALELO POLARIZADO 2X0,75MM BRANCO ALFA 100M</t>
  </si>
  <si>
    <t>CORDAO PARALELO POLARIZADO 2X1,0MM BRANCO ALFA 100M</t>
  </si>
  <si>
    <t>CORDAO PARALELO POLARIZADO 2X1,5MM BRANCO ALFA 100M</t>
  </si>
  <si>
    <t>CORDAO PARALELO POLARIZADO 2X2,5MM BRANCO ALFA 100M</t>
  </si>
  <si>
    <t>CORDAO PARALELO POLARIZADO 2X4,0MM BRANCO ALFA 100M</t>
  </si>
  <si>
    <t>CABO DE CONTROLE 2X1,5MM PRETO ALFA 100M</t>
  </si>
  <si>
    <t>CABO DE CONTROLE 2X2,5MM PRETO ALFA 100M</t>
  </si>
  <si>
    <t>CABO DE CONTROLE 2X4,0MM PRETO ALFA 100M</t>
  </si>
  <si>
    <t>CABO DE CONTROLE 2X6,0MM PRETO ALFA 100M</t>
  </si>
  <si>
    <t>CABO DE CONTROLE 3X1,5MM PRETO ALFA 100M</t>
  </si>
  <si>
    <t>CABO DE CONTROLE 3X2,5MM PRETO ALFA 100M</t>
  </si>
  <si>
    <t>AUTOFLEX</t>
  </si>
  <si>
    <t>CABO ELETRICO FLEXIVEL 1,5MM 100M</t>
  </si>
  <si>
    <t>CABO ELETRICO FLEXIVEL 2,5MM 100M</t>
  </si>
  <si>
    <t>CABO ELETRICO FLEXIVEL 4,0MM 100M</t>
  </si>
  <si>
    <t>CABO ELETRICO FLEXIVEL 6,0MM 100M</t>
  </si>
  <si>
    <t>CABO ELETRICO FLEXIVEL 10,0MM 100M</t>
  </si>
  <si>
    <t>CORDAO PARALELO POLARIZADO 2X1,5MM BRANCO 100M</t>
  </si>
  <si>
    <t>CORDAO PARALELO POLARIZADO 2X2,5MM BRANCO 100M</t>
  </si>
  <si>
    <t>CORDAO PARALELO POLARIZADO 2X4,0MM BRANCO 100M</t>
  </si>
  <si>
    <t>OBS: CONDIÇÃO DE PAGAMENTO A VISTA VALORES PARA PEDIDOS COM MIX DE PRODUTOS, NÃO SENDO POSSIVEL UTILIZAR SOMENTE PEM CABOS 2,5MM. VALORES SUJEITOS A ALTERAÇÃO CONFORME COTAÇÃO DO DOLAR E COBRE</t>
  </si>
  <si>
    <t>TABELA PREÇOS ANDREI (TUDO CABOS) HEPR 1KV</t>
  </si>
  <si>
    <t>BITOLA</t>
  </si>
  <si>
    <t>PREÇO CUSTO</t>
  </si>
  <si>
    <t>PREÇO VENDA MARGEM 20%</t>
  </si>
  <si>
    <t>50,0mm</t>
  </si>
  <si>
    <t>70,0mm</t>
  </si>
  <si>
    <t>95,0mm</t>
  </si>
  <si>
    <t>120,0mm</t>
  </si>
  <si>
    <t>CABO ELETRICO FLEX HEPR 150,0MM PRETO 1KV 90º (LANCE MÍNIMO 200 MT)</t>
  </si>
  <si>
    <t>150,0mm</t>
  </si>
  <si>
    <t>CABO ELETRICO FLEX HEPR 185,0MM PRETO 1KV 90º (LANCE MÍNIMO 200 MT)</t>
  </si>
  <si>
    <t>185,0mm</t>
  </si>
  <si>
    <t>CABO ELETRICO FLEX HEPR 240,0MM PRETO 1KV 90º (LANCE MÍNIMO 200 MT)</t>
  </si>
  <si>
    <t>240,0mm</t>
  </si>
  <si>
    <t xml:space="preserve">CLIENTE: TABELA ANDREI </t>
  </si>
  <si>
    <t>DATA: 27/03/2023</t>
  </si>
  <si>
    <t>PREÇOS COM MARGEM DE 20%</t>
  </si>
  <si>
    <t>R$ 5,80</t>
  </si>
  <si>
    <t>R$ 3,59</t>
  </si>
  <si>
    <t>R$ 4,90</t>
  </si>
  <si>
    <t>R$ 5,30</t>
  </si>
  <si>
    <t>R$ 6,80</t>
  </si>
  <si>
    <t>R$ 7,42</t>
  </si>
  <si>
    <t>R$ 9,60</t>
  </si>
  <si>
    <t>R$ 11,66</t>
  </si>
  <si>
    <t>R$ 13,99</t>
  </si>
  <si>
    <t>R$ 15,90</t>
  </si>
  <si>
    <t>R$ 20,60</t>
  </si>
  <si>
    <t>R$ 22,26</t>
  </si>
  <si>
    <t>R$ 30,25</t>
  </si>
  <si>
    <t>----</t>
  </si>
  <si>
    <t>R$ 40,10</t>
  </si>
  <si>
    <t>R$ 55,80</t>
  </si>
  <si>
    <t>CABO ELETRICO DE COBRE NU 120,0MM METRO</t>
  </si>
  <si>
    <t>R$ 74,95</t>
  </si>
  <si>
    <t>CABO ELETRICO DE COBRE NU 150,0MM METRO</t>
  </si>
  <si>
    <t>R$ 0,00</t>
  </si>
  <si>
    <t>R$ 558,00</t>
  </si>
  <si>
    <t>R$ 5,58</t>
  </si>
  <si>
    <t>R$ 845,00</t>
  </si>
  <si>
    <t>R$ 8,45</t>
  </si>
  <si>
    <t>R$ 1.252,00</t>
  </si>
  <si>
    <t>R$ 12,52</t>
  </si>
  <si>
    <t>R$ 1.745,00</t>
  </si>
  <si>
    <t>R$ 17,45</t>
  </si>
  <si>
    <t>R$ 2.436,00</t>
  </si>
  <si>
    <t>R$ 24,36</t>
  </si>
  <si>
    <t>R$ 3.530,00</t>
  </si>
  <si>
    <t>R$ 35,30</t>
  </si>
  <si>
    <t>R$ 4.773,00</t>
  </si>
  <si>
    <t>R$ 47,73</t>
  </si>
  <si>
    <t>R$ 5.977,00</t>
  </si>
  <si>
    <t>R$ 59,77</t>
  </si>
  <si>
    <t>R$ 7.649,00</t>
  </si>
  <si>
    <t>R$ 76,49</t>
  </si>
  <si>
    <t>R$ 9.080,00</t>
  </si>
  <si>
    <t>R$ 90,80</t>
  </si>
  <si>
    <t>R$ 12.190,00</t>
  </si>
  <si>
    <t>R$ 121,90</t>
  </si>
  <si>
    <t>R$ 16.050,00</t>
  </si>
  <si>
    <t>R$ 160,50</t>
  </si>
  <si>
    <t>Neutro Isolado</t>
  </si>
  <si>
    <t>R$ 4,05</t>
  </si>
  <si>
    <t>R$ 5,60</t>
  </si>
  <si>
    <t>R$ 7,30</t>
  </si>
  <si>
    <t>R$ 4,22</t>
  </si>
  <si>
    <t>R$ 5,88</t>
  </si>
  <si>
    <t>R$ 8,30</t>
  </si>
  <si>
    <t>R$ 10,75</t>
  </si>
  <si>
    <t>R$ 7,72</t>
  </si>
  <si>
    <t>R$ 10,96</t>
  </si>
  <si>
    <t>R$ 14,50</t>
  </si>
  <si>
    <t>R$ 19,91</t>
  </si>
  <si>
    <t>R$ 27,09</t>
  </si>
  <si>
    <t>R$ 32,30</t>
  </si>
  <si>
    <t>R$ 2,55</t>
  </si>
  <si>
    <t>R$ 3,30</t>
  </si>
  <si>
    <t>R$ 5,40</t>
  </si>
  <si>
    <t>R$ 7,15</t>
  </si>
  <si>
    <t>DATA: 08/03/2024</t>
  </si>
  <si>
    <t>R$ 37,71</t>
  </si>
  <si>
    <t>R$ 35,82</t>
  </si>
  <si>
    <t>R$ 52,62</t>
  </si>
  <si>
    <t>R$ 49,99</t>
  </si>
  <si>
    <t>R$ 63,74</t>
  </si>
  <si>
    <t>R$ 60,55</t>
  </si>
  <si>
    <t>R$ 86,25</t>
  </si>
  <si>
    <t>R$ 81,94</t>
  </si>
  <si>
    <t>R$ 135,00</t>
  </si>
  <si>
    <t>R$ 128,25</t>
  </si>
  <si>
    <t>R$ 220,50</t>
  </si>
  <si>
    <t>R$ 209,48</t>
  </si>
  <si>
    <t>R$ 325,00</t>
  </si>
  <si>
    <t>R$ 308,75</t>
  </si>
  <si>
    <t>R$ 549,00</t>
  </si>
  <si>
    <t>R$ 521,55</t>
  </si>
  <si>
    <t>R$ 840,00</t>
  </si>
  <si>
    <t>R$ 798,00</t>
  </si>
  <si>
    <t>R$ 94,00</t>
  </si>
  <si>
    <t>R$ 123,00</t>
  </si>
  <si>
    <t>R$ 175,00</t>
  </si>
  <si>
    <t>R$ 275,00</t>
  </si>
  <si>
    <t>R$ 439,00</t>
  </si>
  <si>
    <t>R$ 155,42</t>
  </si>
  <si>
    <t>R$ 147,65</t>
  </si>
  <si>
    <t>R$ 244,46</t>
  </si>
  <si>
    <t>R$ 232,24</t>
  </si>
  <si>
    <t>R$ 399,03</t>
  </si>
  <si>
    <t>R$ 379,08</t>
  </si>
  <si>
    <t>R$ 620,62</t>
  </si>
  <si>
    <t>R$ 589,59</t>
  </si>
  <si>
    <t>R$ 952,71</t>
  </si>
  <si>
    <t>R$ 905,07</t>
  </si>
  <si>
    <t>R$ 1.595,06</t>
  </si>
  <si>
    <t>R$ 1.515,31</t>
  </si>
  <si>
    <t>R$ 2.400,88</t>
  </si>
  <si>
    <t>R$ 2.280,84</t>
  </si>
  <si>
    <t>R$ 232,89</t>
  </si>
  <si>
    <t>R$ 221,24</t>
  </si>
  <si>
    <t>R$ 365,90</t>
  </si>
  <si>
    <t>R$ 347,61</t>
  </si>
  <si>
    <t>R$ 598,30</t>
  </si>
  <si>
    <t>R$ 568,39</t>
  </si>
  <si>
    <t>R$ 930,69</t>
  </si>
  <si>
    <t>R$ 884,15</t>
  </si>
  <si>
    <t>R$ 1.428,82</t>
  </si>
  <si>
    <t>R$ 1.357,38</t>
  </si>
  <si>
    <t>R$ 2.392,35</t>
  </si>
  <si>
    <t>R$ 2.272,73</t>
  </si>
  <si>
    <t>R$ 3.601,07</t>
  </si>
  <si>
    <t>R$ 3.421,02</t>
  </si>
  <si>
    <t>R$ 310,36</t>
  </si>
  <si>
    <t>R$ 294,84</t>
  </si>
  <si>
    <t>R$ 487,71</t>
  </si>
  <si>
    <t>R$ 463,32</t>
  </si>
  <si>
    <t>R$ 797,58</t>
  </si>
  <si>
    <t>R$ 757,70</t>
  </si>
  <si>
    <t>R$ 1.240,76</t>
  </si>
  <si>
    <t>R$ 1.178,72</t>
  </si>
  <si>
    <t>R$ 1.904,93</t>
  </si>
  <si>
    <t>R$ 1.809,68</t>
  </si>
  <si>
    <t>R$ 3.189,64</t>
  </si>
  <si>
    <t>R$ 3.030,15</t>
  </si>
  <si>
    <t>R$ 4.801,27</t>
  </si>
  <si>
    <t>R$ 4.561,21</t>
  </si>
  <si>
    <t>R$ 387,82</t>
  </si>
  <si>
    <t>R$ 368,43</t>
  </si>
  <si>
    <t>R$ 609,51</t>
  </si>
  <si>
    <t>R$ 579,04</t>
  </si>
  <si>
    <t>R$ 996,85</t>
  </si>
  <si>
    <t>R$ 947,01</t>
  </si>
  <si>
    <t>R$ 465,29</t>
  </si>
  <si>
    <t>R$ 442,03</t>
  </si>
  <si>
    <t>R$ 731,32</t>
  </si>
  <si>
    <t>R$ 694,75</t>
  </si>
  <si>
    <t>R$ 1.196,12</t>
  </si>
  <si>
    <t>R$ 1.136,31</t>
  </si>
  <si>
    <t>R$ 542,76</t>
  </si>
  <si>
    <t>R$ 515,62</t>
  </si>
  <si>
    <t>R$ 853,12</t>
  </si>
  <si>
    <t>R$ 810,47</t>
  </si>
  <si>
    <t>R$ 1.395,39</t>
  </si>
  <si>
    <t>R$ 1.325,62</t>
  </si>
  <si>
    <t>VoltMaster</t>
  </si>
  <si>
    <t>CABO ALUMINIO SINGELO XLPE 1KV 10MM DIV METRO</t>
  </si>
  <si>
    <t>singelo</t>
  </si>
  <si>
    <t>NEUTRO NU</t>
  </si>
  <si>
    <t>CABO ALUMINIO QUADRUPLEX 3X1X150MM+70MM DIV METRO</t>
  </si>
  <si>
    <t>GGMAX</t>
  </si>
  <si>
    <t>Blucabos</t>
  </si>
  <si>
    <t>OBS: CONDIÇÃO DE PAGAMENTO A NEGOCIAR, ENTREGA CIF, PRAZO DE ENTREGA VARIA DE 5 A 10 DIAS O MESMO DEVE SER ACORDADO NO FECHAMETO DO PEDIDO VALORES PARA PEDIDOS COM MIX DE PRODUTOS . VALORES SUJEITOS A ALTERAÇÃO CONFORME COTAÇÃO DO DOLAR E COBRE A CADA 10 DIAS</t>
  </si>
  <si>
    <t>OBS: CONDIÇÃO DE PAGAMENTO A NEGOCIAR, ENTREGA CIF, PRAZO DE ENTREGA VARIA DE 7 A 12 DIAS O MESMO DEVE SER ACORDADO NO FECHMETO DO PEDIDO VALORES PARA PEDIDOS COM MIX DE PRODUTOS . VALORES SUJEITOS A ALTERAÇÃO CONFORME COTAÇÃO DO DOLAR E COBRE A CADA 10 DIAS</t>
  </si>
  <si>
    <t>CABO PP 2X25,0MM PRETO MAXFIO 100M</t>
  </si>
  <si>
    <t>CABO PP 3X25MM PRETO MAXFIO 100M</t>
  </si>
  <si>
    <t>DATA: 15/10/2025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</si>
</sst>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.00_-;\-&quot;R$&quot;\ * #,##0.00_-;_-&quot;R$&quot;\ * &quot;-&quot;??_-;_-@"/>
    <numFmt numFmtId="166" formatCode="&quot;R$&quot;\ #,##0.0000"/>
    <numFmt numFmtId="167" formatCode="_(&quot;R$ &quot;* #,##0.00_);_(&quot;R$ &quot;* \(#,##0.00\);_(&quot;R$ &quot;* &quot;-&quot;??_);_(@_)"/>
  </numFmts>
  <fonts count="17" x14ac:knownFonts="1">
    <font>
      <sz val="11"/>
      <color theme="1"/>
      <name val="Calibri"/>
      <scheme val="minor"/>
    </font>
    <font>
      <sz val="15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13"/>
      <color rgb="FF000000"/>
      <name val="Calibri"/>
      <family val="2"/>
    </font>
    <font>
      <b/>
      <sz val="11"/>
      <color rgb="FF000000"/>
      <name val="Calibri"/>
      <family val="2"/>
    </font>
    <font>
      <sz val="15"/>
      <color theme="1"/>
      <name val="Calibri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36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D9D9D9"/>
      </patternFill>
    </fill>
    <fill>
      <patternFill patternType="solid">
        <fgColor rgb="FFD8D8D8"/>
        <bgColor rgb="FFD8D8D8"/>
      </patternFill>
    </fill>
    <fill>
      <patternFill patternType="solid">
        <fgColor rgb="FFFF3300"/>
        <bgColor rgb="FFFF330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140">
    <xf numFmtId="0" fontId="0" fillId="0" borderId="0" xfId="0"/>
    <xf numFmtId="0" fontId="3" fillId="0" borderId="0" xfId="0" applyFont="1" applyAlignment="1">
      <alignment horizontal="left"/>
    </xf>
    <xf numFmtId="0" fontId="4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5" fillId="2" borderId="4" xfId="0" applyFont="1" applyFill="1" applyBorder="1"/>
    <xf numFmtId="0" fontId="3" fillId="0" borderId="7" xfId="0" applyFont="1" applyBorder="1"/>
    <xf numFmtId="0" fontId="3" fillId="0" borderId="8" xfId="0" applyFont="1" applyBorder="1" applyAlignment="1">
      <alignment horizontal="center"/>
    </xf>
    <xf numFmtId="164" fontId="3" fillId="0" borderId="8" xfId="0" applyNumberFormat="1" applyFont="1" applyBorder="1" applyAlignment="1">
      <alignment horizontal="right"/>
    </xf>
    <xf numFmtId="0" fontId="4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0" xfId="0" applyFont="1"/>
    <xf numFmtId="0" fontId="5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3" fillId="0" borderId="4" xfId="0" applyFont="1" applyBorder="1"/>
    <xf numFmtId="0" fontId="7" fillId="0" borderId="6" xfId="0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165" fontId="3" fillId="0" borderId="0" xfId="0" applyNumberFormat="1" applyFont="1"/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164" fontId="3" fillId="0" borderId="12" xfId="0" applyNumberFormat="1" applyFont="1" applyBorder="1"/>
    <xf numFmtId="0" fontId="5" fillId="2" borderId="7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right"/>
    </xf>
    <xf numFmtId="0" fontId="3" fillId="2" borderId="7" xfId="0" applyFont="1" applyFill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164" fontId="10" fillId="0" borderId="4" xfId="0" applyNumberFormat="1" applyFont="1" applyBorder="1"/>
    <xf numFmtId="166" fontId="10" fillId="0" borderId="4" xfId="0" applyNumberFormat="1" applyFont="1" applyBorder="1"/>
    <xf numFmtId="0" fontId="10" fillId="0" borderId="0" xfId="0" applyFont="1" applyAlignment="1">
      <alignment horizontal="center"/>
    </xf>
    <xf numFmtId="164" fontId="10" fillId="0" borderId="0" xfId="0" applyNumberFormat="1" applyFont="1"/>
    <xf numFmtId="0" fontId="10" fillId="0" borderId="4" xfId="0" applyFont="1" applyBorder="1" applyAlignment="1">
      <alignment horizontal="left" vertical="center"/>
    </xf>
    <xf numFmtId="167" fontId="3" fillId="6" borderId="8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164" fontId="3" fillId="0" borderId="10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21" xfId="0" applyNumberFormat="1" applyFont="1" applyBorder="1"/>
    <xf numFmtId="0" fontId="3" fillId="2" borderId="8" xfId="0" applyFont="1" applyFill="1" applyBorder="1" applyAlignment="1">
      <alignment horizontal="center"/>
    </xf>
    <xf numFmtId="164" fontId="3" fillId="0" borderId="0" xfId="0" applyNumberFormat="1" applyFont="1"/>
    <xf numFmtId="0" fontId="3" fillId="2" borderId="10" xfId="0" applyFont="1" applyFill="1" applyBorder="1" applyAlignment="1">
      <alignment horizontal="center"/>
    </xf>
    <xf numFmtId="2" fontId="0" fillId="0" borderId="0" xfId="0" applyNumberFormat="1"/>
    <xf numFmtId="2" fontId="3" fillId="0" borderId="0" xfId="0" applyNumberFormat="1" applyFont="1"/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44" fontId="3" fillId="7" borderId="0" xfId="1" applyFont="1" applyFill="1" applyAlignment="1">
      <alignment horizontal="center" vertical="center"/>
    </xf>
    <xf numFmtId="44" fontId="3" fillId="2" borderId="7" xfId="1" applyFont="1" applyFill="1" applyBorder="1" applyAlignment="1">
      <alignment horizontal="center"/>
    </xf>
    <xf numFmtId="0" fontId="15" fillId="0" borderId="7" xfId="0" applyFont="1" applyBorder="1"/>
    <xf numFmtId="0" fontId="15" fillId="0" borderId="0" xfId="0" applyFont="1"/>
    <xf numFmtId="0" fontId="3" fillId="8" borderId="0" xfId="0" applyFont="1" applyFill="1"/>
    <xf numFmtId="0" fontId="3" fillId="0" borderId="3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0" fontId="16" fillId="2" borderId="24" xfId="0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/>
    </xf>
    <xf numFmtId="0" fontId="15" fillId="9" borderId="0" xfId="0" applyFont="1" applyFill="1" applyAlignment="1">
      <alignment horizontal="center" vertical="center"/>
    </xf>
    <xf numFmtId="0" fontId="3" fillId="9" borderId="0" xfId="0" applyFont="1" applyFill="1"/>
    <xf numFmtId="0" fontId="0" fillId="9" borderId="0" xfId="0" applyFill="1"/>
    <xf numFmtId="0" fontId="5" fillId="2" borderId="26" xfId="0" applyFont="1" applyFill="1" applyBorder="1" applyAlignment="1">
      <alignment horizontal="center"/>
    </xf>
    <xf numFmtId="0" fontId="3" fillId="0" borderId="22" xfId="0" applyFont="1" applyBorder="1"/>
    <xf numFmtId="0" fontId="7" fillId="0" borderId="3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164" fontId="3" fillId="8" borderId="24" xfId="0" applyNumberFormat="1" applyFont="1" applyFill="1" applyBorder="1" applyAlignment="1">
      <alignment horizontal="center" vertical="top"/>
    </xf>
    <xf numFmtId="44" fontId="2" fillId="8" borderId="24" xfId="1" applyFont="1" applyFill="1" applyBorder="1" applyAlignment="1"/>
    <xf numFmtId="164" fontId="3" fillId="8" borderId="24" xfId="0" applyNumberFormat="1" applyFont="1" applyFill="1" applyBorder="1" applyAlignment="1">
      <alignment horizontal="center"/>
    </xf>
    <xf numFmtId="0" fontId="2" fillId="8" borderId="24" xfId="0" applyFont="1" applyFill="1" applyBorder="1"/>
    <xf numFmtId="164" fontId="3" fillId="0" borderId="6" xfId="0" applyNumberFormat="1" applyFont="1" applyBorder="1" applyAlignment="1">
      <alignment horizontal="center"/>
    </xf>
    <xf numFmtId="0" fontId="2" fillId="0" borderId="5" xfId="0" applyFont="1" applyBorder="1"/>
    <xf numFmtId="164" fontId="3" fillId="0" borderId="11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2" fillId="0" borderId="8" xfId="0" applyFont="1" applyBorder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3" fillId="0" borderId="0" xfId="0" applyFont="1" applyAlignment="1">
      <alignment horizontal="left"/>
    </xf>
    <xf numFmtId="0" fontId="0" fillId="0" borderId="0" xfId="0"/>
    <xf numFmtId="0" fontId="5" fillId="2" borderId="6" xfId="0" applyFont="1" applyFill="1" applyBorder="1" applyAlignment="1">
      <alignment horizontal="center"/>
    </xf>
    <xf numFmtId="0" fontId="2" fillId="0" borderId="9" xfId="0" applyFont="1" applyBorder="1"/>
    <xf numFmtId="0" fontId="5" fillId="2" borderId="15" xfId="0" applyFont="1" applyFill="1" applyBorder="1" applyAlignment="1">
      <alignment horizontal="center"/>
    </xf>
    <xf numFmtId="0" fontId="2" fillId="0" borderId="13" xfId="0" applyFont="1" applyBorder="1"/>
    <xf numFmtId="0" fontId="2" fillId="0" borderId="16" xfId="0" applyFont="1" applyBorder="1"/>
    <xf numFmtId="0" fontId="5" fillId="2" borderId="11" xfId="0" applyFont="1" applyFill="1" applyBorder="1" applyAlignment="1">
      <alignment horizontal="center"/>
    </xf>
    <xf numFmtId="0" fontId="2" fillId="0" borderId="17" xfId="0" applyFont="1" applyBorder="1"/>
    <xf numFmtId="0" fontId="15" fillId="2" borderId="1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1" fillId="3" borderId="11" xfId="0" applyFont="1" applyFill="1" applyBorder="1" applyAlignment="1">
      <alignment horizontal="center"/>
    </xf>
    <xf numFmtId="0" fontId="2" fillId="0" borderId="6" xfId="0" applyFont="1" applyBorder="1"/>
    <xf numFmtId="0" fontId="14" fillId="7" borderId="10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/>
    </xf>
    <xf numFmtId="0" fontId="2" fillId="0" borderId="10" xfId="0" applyFont="1" applyBorder="1"/>
    <xf numFmtId="0" fontId="3" fillId="2" borderId="11" xfId="0" applyFont="1" applyFill="1" applyBorder="1" applyAlignment="1">
      <alignment horizontal="center" wrapText="1"/>
    </xf>
    <xf numFmtId="0" fontId="2" fillId="0" borderId="6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1" fillId="2" borderId="15" xfId="0" applyFont="1" applyFill="1" applyBorder="1" applyAlignment="1">
      <alignment horizontal="center"/>
    </xf>
    <xf numFmtId="0" fontId="3" fillId="0" borderId="18" xfId="0" applyFont="1" applyBorder="1"/>
    <xf numFmtId="0" fontId="2" fillId="0" borderId="19" xfId="0" applyFont="1" applyBorder="1"/>
    <xf numFmtId="0" fontId="3" fillId="2" borderId="25" xfId="0" applyFont="1" applyFill="1" applyBorder="1" applyAlignment="1">
      <alignment horizontal="center"/>
    </xf>
    <xf numFmtId="0" fontId="2" fillId="0" borderId="32" xfId="0" applyFont="1" applyBorder="1"/>
    <xf numFmtId="0" fontId="6" fillId="2" borderId="28" xfId="0" applyFont="1" applyFill="1" applyBorder="1" applyAlignment="1">
      <alignment horizontal="center"/>
    </xf>
    <xf numFmtId="0" fontId="2" fillId="0" borderId="29" xfId="0" applyFont="1" applyBorder="1"/>
    <xf numFmtId="0" fontId="2" fillId="0" borderId="30" xfId="0" applyFont="1" applyBorder="1"/>
    <xf numFmtId="164" fontId="3" fillId="0" borderId="1" xfId="0" applyNumberFormat="1" applyFont="1" applyBorder="1" applyAlignment="1">
      <alignment horizontal="center"/>
    </xf>
    <xf numFmtId="0" fontId="2" fillId="0" borderId="20" xfId="0" applyFont="1" applyBorder="1"/>
    <xf numFmtId="0" fontId="5" fillId="2" borderId="28" xfId="0" applyFont="1" applyFill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center"/>
    </xf>
    <xf numFmtId="0" fontId="2" fillId="0" borderId="21" xfId="0" applyFont="1" applyBorder="1"/>
    <xf numFmtId="0" fontId="6" fillId="2" borderId="11" xfId="0" applyFont="1" applyFill="1" applyBorder="1" applyAlignment="1">
      <alignment horizontal="center"/>
    </xf>
    <xf numFmtId="0" fontId="15" fillId="2" borderId="15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164" fontId="3" fillId="8" borderId="24" xfId="0" applyNumberFormat="1" applyFont="1" applyFill="1" applyBorder="1" applyAlignment="1">
      <alignment horizontal="center"/>
    </xf>
    <xf numFmtId="0" fontId="2" fillId="8" borderId="24" xfId="0" applyFont="1" applyFill="1" applyBorder="1"/>
    <xf numFmtId="0" fontId="5" fillId="2" borderId="33" xfId="0" applyFont="1" applyFill="1" applyBorder="1" applyAlignment="1">
      <alignment horizontal="center"/>
    </xf>
    <xf numFmtId="0" fontId="5" fillId="2" borderId="34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 vertical="center" wrapText="1"/>
    </xf>
    <xf numFmtId="0" fontId="10" fillId="0" borderId="11" xfId="0" applyFont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2" fillId="5" borderId="11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2" fillId="0" borderId="23" xfId="0" applyFont="1" applyBorder="1"/>
    <xf numFmtId="0" fontId="3" fillId="2" borderId="15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1343025</xdr:colOff>
      <xdr:row>1</xdr:row>
      <xdr:rowOff>0</xdr:rowOff>
    </xdr:from>
    <xdr:ext cx="3505200" cy="847725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942975</xdr:colOff>
      <xdr:row>1</xdr:row>
      <xdr:rowOff>28575</xdr:rowOff>
    </xdr:from>
    <xdr:ext cx="3676650" cy="847725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942975</xdr:colOff>
      <xdr:row>1</xdr:row>
      <xdr:rowOff>28575</xdr:rowOff>
    </xdr:from>
    <xdr:ext cx="3676650" cy="847725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1343025</xdr:colOff>
      <xdr:row>1</xdr:row>
      <xdr:rowOff>0</xdr:rowOff>
    </xdr:from>
    <xdr:ext cx="3505200" cy="847725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MAXFIO%20CONDUTORES%20ELETRICOS%2037226584.0001.28\COMERCIAL\VIABILIDADE%20COMERCIAL%202025%20-%20ATUALIZADA.xlsm" TargetMode="External"/><Relationship Id="rId1" Type="http://schemas.openxmlformats.org/officeDocument/2006/relationships/externalLinkPath" Target="VIABILIDADE%20COMERCIAL%202025%20-%20ATUALIZAD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IABILIDADE"/>
      <sheetName val=" COMP.MAXFIO"/>
      <sheetName val="COMP.AUTOFLEX"/>
      <sheetName val="COMP.ALFA (2)"/>
    </sheetNames>
    <sheetDataSet>
      <sheetData sheetId="0">
        <row r="9">
          <cell r="F9">
            <v>46.950400000000002</v>
          </cell>
        </row>
        <row r="10">
          <cell r="F10">
            <v>66.410399999999996</v>
          </cell>
        </row>
        <row r="11">
          <cell r="F11">
            <v>80.918524999999988</v>
          </cell>
        </row>
        <row r="12">
          <cell r="F12">
            <v>115.59512073170733</v>
          </cell>
        </row>
        <row r="13">
          <cell r="F13">
            <v>182.26258536585362</v>
          </cell>
        </row>
        <row r="14">
          <cell r="F14">
            <v>293.62095736249995</v>
          </cell>
        </row>
        <row r="15">
          <cell r="F15">
            <v>445.72495944999997</v>
          </cell>
        </row>
        <row r="16">
          <cell r="F16">
            <v>732.63739558024679</v>
          </cell>
        </row>
        <row r="17">
          <cell r="F17">
            <v>1114.0046612499998</v>
          </cell>
        </row>
        <row r="18">
          <cell r="F18">
            <v>110.24512195121953</v>
          </cell>
        </row>
        <row r="19">
          <cell r="F19">
            <v>155.35243902439026</v>
          </cell>
        </row>
        <row r="20">
          <cell r="F20">
            <v>230.13414634146346</v>
          </cell>
        </row>
        <row r="21">
          <cell r="F21">
            <v>369.49457831325304</v>
          </cell>
        </row>
        <row r="22">
          <cell r="F22">
            <v>561.08268292682931</v>
          </cell>
        </row>
        <row r="23">
          <cell r="F23">
            <v>150.2365789473684</v>
          </cell>
        </row>
        <row r="24">
          <cell r="F24">
            <v>292.95394736842104</v>
          </cell>
        </row>
        <row r="25">
          <cell r="F25">
            <v>423.61381578947379</v>
          </cell>
        </row>
        <row r="26">
          <cell r="F26">
            <v>693.05427631578937</v>
          </cell>
        </row>
        <row r="27">
          <cell r="F27">
            <v>1028.9587171052633</v>
          </cell>
        </row>
        <row r="28">
          <cell r="F28">
            <v>1676.9391447368419</v>
          </cell>
        </row>
        <row r="29">
          <cell r="F29">
            <v>2511.6595394736837</v>
          </cell>
        </row>
        <row r="30">
          <cell r="F30">
            <v>3805.4289473684212</v>
          </cell>
        </row>
        <row r="31">
          <cell r="F31">
            <v>225.09171052631575</v>
          </cell>
        </row>
        <row r="32">
          <cell r="F32">
            <v>417.4375</v>
          </cell>
        </row>
        <row r="33">
          <cell r="F33">
            <v>627.64671052631581</v>
          </cell>
        </row>
        <row r="34">
          <cell r="F34">
            <v>987.29154605263147</v>
          </cell>
        </row>
        <row r="35">
          <cell r="F35">
            <v>1474.7796052631579</v>
          </cell>
        </row>
        <row r="36">
          <cell r="F36">
            <v>2429.9555921052629</v>
          </cell>
        </row>
        <row r="37">
          <cell r="F37">
            <v>3622.5953947368421</v>
          </cell>
        </row>
        <row r="38">
          <cell r="F38">
            <v>5425.5016447368434</v>
          </cell>
        </row>
        <row r="39">
          <cell r="F39">
            <v>299.94684210526316</v>
          </cell>
        </row>
        <row r="40">
          <cell r="F40">
            <v>536.21929824561403</v>
          </cell>
        </row>
        <row r="41">
          <cell r="F41">
            <v>802.79111842105272</v>
          </cell>
        </row>
        <row r="42">
          <cell r="F42">
            <v>1310.1743421052631</v>
          </cell>
        </row>
        <row r="43">
          <cell r="F43">
            <v>1980.2894736842102</v>
          </cell>
        </row>
        <row r="44">
          <cell r="F44">
            <v>3214.5296052631579</v>
          </cell>
        </row>
        <row r="45">
          <cell r="F45">
            <v>4844.2434210526317</v>
          </cell>
        </row>
        <row r="46">
          <cell r="F46">
            <v>374.80197368421057</v>
          </cell>
        </row>
        <row r="47">
          <cell r="F47">
            <v>662.53190789473683</v>
          </cell>
        </row>
        <row r="48">
          <cell r="F48">
            <v>1027.9621710526314</v>
          </cell>
        </row>
        <row r="49">
          <cell r="F49">
            <v>470.55230263157898</v>
          </cell>
        </row>
        <row r="50">
          <cell r="F50">
            <v>781.60855263157885</v>
          </cell>
        </row>
        <row r="51">
          <cell r="F51">
            <v>1275.8453947368421</v>
          </cell>
        </row>
        <row r="52">
          <cell r="F52">
            <v>505.73684210526324</v>
          </cell>
        </row>
        <row r="53">
          <cell r="F53">
            <v>914.31249999999989</v>
          </cell>
        </row>
        <row r="54">
          <cell r="F54">
            <v>1485.8749999999998</v>
          </cell>
        </row>
        <row r="59">
          <cell r="F59">
            <v>85.975810810810813</v>
          </cell>
        </row>
        <row r="60">
          <cell r="F60">
            <v>131.00273291925464</v>
          </cell>
        </row>
        <row r="61">
          <cell r="F61">
            <v>208.14945945945945</v>
          </cell>
        </row>
        <row r="62">
          <cell r="F62">
            <v>317.49635135135134</v>
          </cell>
        </row>
        <row r="63">
          <cell r="F63">
            <v>553.07666666666671</v>
          </cell>
        </row>
        <row r="64">
          <cell r="F64">
            <v>801.19666666666672</v>
          </cell>
        </row>
        <row r="65">
          <cell r="F65">
            <v>103.03666175135136</v>
          </cell>
        </row>
        <row r="66">
          <cell r="F66">
            <v>129.85153915675676</v>
          </cell>
        </row>
        <row r="67">
          <cell r="F67">
            <v>173.63694957837839</v>
          </cell>
        </row>
        <row r="68">
          <cell r="F68">
            <v>258.63500242962959</v>
          </cell>
        </row>
        <row r="69">
          <cell r="F69">
            <v>415.68724994594589</v>
          </cell>
        </row>
        <row r="70">
          <cell r="F70">
            <v>272.67121212121208</v>
          </cell>
        </row>
        <row r="71">
          <cell r="F71">
            <v>390.2247826086957</v>
          </cell>
        </row>
        <row r="72">
          <cell r="F72">
            <v>593.31363636363631</v>
          </cell>
        </row>
        <row r="73">
          <cell r="F73">
            <v>861.2530303030303</v>
          </cell>
        </row>
        <row r="74">
          <cell r="F74">
            <v>382.6431818181818</v>
          </cell>
        </row>
        <row r="75">
          <cell r="F75">
            <v>566.18161764705883</v>
          </cell>
        </row>
        <row r="80">
          <cell r="F80">
            <v>77.030921052631584</v>
          </cell>
        </row>
        <row r="81">
          <cell r="F81">
            <v>122.84993421052631</v>
          </cell>
        </row>
        <row r="82">
          <cell r="F82">
            <v>189.05572368421053</v>
          </cell>
        </row>
        <row r="83">
          <cell r="F83">
            <v>306.26141447368423</v>
          </cell>
        </row>
        <row r="84">
          <cell r="F84">
            <v>478.33026315789482</v>
          </cell>
        </row>
        <row r="85">
          <cell r="F85">
            <v>770.42523355263165</v>
          </cell>
        </row>
        <row r="86">
          <cell r="F86">
            <v>147.61913267368422</v>
          </cell>
        </row>
        <row r="87">
          <cell r="F87">
            <v>237.48241487999996</v>
          </cell>
        </row>
        <row r="88">
          <cell r="F88">
            <v>367.94198729263167</v>
          </cell>
        </row>
        <row r="95">
          <cell r="F95">
            <v>742.11346153846159</v>
          </cell>
        </row>
        <row r="96">
          <cell r="F96">
            <v>1128.8205128205129</v>
          </cell>
        </row>
        <row r="97">
          <cell r="F97">
            <v>1688.9307692307691</v>
          </cell>
        </row>
        <row r="98">
          <cell r="F98">
            <v>2274.4871794871792</v>
          </cell>
        </row>
        <row r="99">
          <cell r="F99">
            <v>3143.7820512820508</v>
          </cell>
        </row>
        <row r="100">
          <cell r="F100">
            <v>4480.7692307692296</v>
          </cell>
        </row>
        <row r="101">
          <cell r="F101">
            <v>6266.923076923078</v>
          </cell>
        </row>
        <row r="102">
          <cell r="F102">
            <v>7913.3974358974356</v>
          </cell>
        </row>
        <row r="103">
          <cell r="F103">
            <v>10192.75641025641</v>
          </cell>
        </row>
        <row r="104">
          <cell r="F104">
            <v>12174.743589743588</v>
          </cell>
        </row>
        <row r="105">
          <cell r="F105">
            <v>15460.448717948717</v>
          </cell>
        </row>
        <row r="106">
          <cell r="F106">
            <v>20966.315615384614</v>
          </cell>
        </row>
        <row r="116">
          <cell r="N116">
            <v>7.5789999999999997</v>
          </cell>
        </row>
        <row r="117">
          <cell r="N117">
            <v>12.012</v>
          </cell>
        </row>
        <row r="118">
          <cell r="N118">
            <v>17.374500000000001</v>
          </cell>
        </row>
        <row r="119">
          <cell r="N119">
            <v>25.453999999999997</v>
          </cell>
        </row>
        <row r="120">
          <cell r="N120">
            <v>32.317999999999998</v>
          </cell>
        </row>
        <row r="121">
          <cell r="N121">
            <v>41.541499999999999</v>
          </cell>
        </row>
        <row r="128">
          <cell r="F128">
            <v>6.7694805194805188</v>
          </cell>
        </row>
        <row r="129">
          <cell r="F129">
            <v>9.4772727272727266</v>
          </cell>
        </row>
        <row r="130">
          <cell r="F130">
            <v>14.480519480519481</v>
          </cell>
        </row>
        <row r="131">
          <cell r="F131">
            <v>20.308441558441558</v>
          </cell>
        </row>
        <row r="132">
          <cell r="F132">
            <v>27.545454545454547</v>
          </cell>
        </row>
        <row r="133">
          <cell r="F133">
            <v>49.350649350649348</v>
          </cell>
        </row>
        <row r="134">
          <cell r="F134">
            <v>37.909090909090907</v>
          </cell>
        </row>
        <row r="136">
          <cell r="F136">
            <v>4.9800000000000004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1002"/>
  <sheetViews>
    <sheetView topLeftCell="A34" workbookViewId="0">
      <selection activeCell="B53" sqref="B53"/>
    </sheetView>
  </sheetViews>
  <sheetFormatPr defaultColWidth="14.44140625" defaultRowHeight="15" customHeight="1" x14ac:dyDescent="0.3"/>
  <cols>
    <col min="1" max="1" width="57.6640625" customWidth="1"/>
    <col min="2" max="2" width="5.44140625" customWidth="1"/>
    <col min="3" max="3" width="13.88671875" customWidth="1"/>
    <col min="4" max="4" width="10.6640625" customWidth="1"/>
    <col min="5" max="5" width="8.88671875" customWidth="1"/>
    <col min="6" max="26" width="8.6640625" customWidth="1"/>
  </cols>
  <sheetData>
    <row r="1" spans="1:4" ht="14.25" customHeight="1" x14ac:dyDescent="0.4">
      <c r="A1" s="79" t="s">
        <v>0</v>
      </c>
      <c r="B1" s="80"/>
      <c r="C1" s="80"/>
      <c r="D1" s="81"/>
    </row>
    <row r="2" spans="1:4" ht="70.5" customHeight="1" x14ac:dyDescent="0.3">
      <c r="A2" s="82"/>
      <c r="B2" s="83"/>
      <c r="C2" s="83"/>
      <c r="D2" s="83"/>
    </row>
    <row r="3" spans="1:4" ht="18" customHeight="1" x14ac:dyDescent="0.3">
      <c r="A3" s="2" t="s">
        <v>1</v>
      </c>
      <c r="B3" s="3" t="s">
        <v>2</v>
      </c>
      <c r="C3" s="4" t="s">
        <v>3</v>
      </c>
      <c r="D3" s="5" t="s">
        <v>4</v>
      </c>
    </row>
    <row r="4" spans="1:4" ht="14.25" customHeight="1" x14ac:dyDescent="0.3">
      <c r="A4" s="6" t="s">
        <v>5</v>
      </c>
      <c r="B4" s="7" t="s">
        <v>6</v>
      </c>
      <c r="C4" s="8">
        <f>[1]VIABILIDADE!F9</f>
        <v>46.950400000000002</v>
      </c>
      <c r="D4" s="8">
        <f>C4*1.03</f>
        <v>48.358912000000004</v>
      </c>
    </row>
    <row r="5" spans="1:4" ht="14.25" customHeight="1" x14ac:dyDescent="0.3">
      <c r="A5" s="6" t="s">
        <v>7</v>
      </c>
      <c r="B5" s="7" t="s">
        <v>6</v>
      </c>
      <c r="C5" s="8">
        <f>[1]VIABILIDADE!F10</f>
        <v>66.410399999999996</v>
      </c>
      <c r="D5" s="8">
        <f t="shared" ref="D5:D12" si="0">C5*1.03</f>
        <v>68.402711999999994</v>
      </c>
    </row>
    <row r="6" spans="1:4" ht="14.25" customHeight="1" x14ac:dyDescent="0.3">
      <c r="A6" s="6" t="s">
        <v>8</v>
      </c>
      <c r="B6" s="7" t="s">
        <v>6</v>
      </c>
      <c r="C6" s="8">
        <f>[1]VIABILIDADE!F11</f>
        <v>80.918524999999988</v>
      </c>
      <c r="D6" s="8">
        <f t="shared" si="0"/>
        <v>83.346080749999985</v>
      </c>
    </row>
    <row r="7" spans="1:4" ht="14.25" customHeight="1" x14ac:dyDescent="0.3">
      <c r="A7" s="6" t="s">
        <v>9</v>
      </c>
      <c r="B7" s="7" t="s">
        <v>6</v>
      </c>
      <c r="C7" s="8">
        <f>[1]VIABILIDADE!F12</f>
        <v>115.59512073170733</v>
      </c>
      <c r="D7" s="8">
        <f t="shared" si="0"/>
        <v>119.06297435365855</v>
      </c>
    </row>
    <row r="8" spans="1:4" ht="14.25" customHeight="1" x14ac:dyDescent="0.3">
      <c r="A8" s="6" t="s">
        <v>10</v>
      </c>
      <c r="B8" s="7" t="s">
        <v>6</v>
      </c>
      <c r="C8" s="8">
        <f>[1]VIABILIDADE!F13</f>
        <v>182.26258536585362</v>
      </c>
      <c r="D8" s="8">
        <f t="shared" si="0"/>
        <v>187.73046292682923</v>
      </c>
    </row>
    <row r="9" spans="1:4" ht="14.25" customHeight="1" x14ac:dyDescent="0.3">
      <c r="A9" s="6" t="s">
        <v>11</v>
      </c>
      <c r="B9" s="7" t="s">
        <v>6</v>
      </c>
      <c r="C9" s="8">
        <f>[1]VIABILIDADE!F14</f>
        <v>293.62095736249995</v>
      </c>
      <c r="D9" s="8">
        <f t="shared" si="0"/>
        <v>302.42958608337494</v>
      </c>
    </row>
    <row r="10" spans="1:4" ht="14.25" customHeight="1" x14ac:dyDescent="0.3">
      <c r="A10" s="6" t="s">
        <v>12</v>
      </c>
      <c r="B10" s="7" t="s">
        <v>6</v>
      </c>
      <c r="C10" s="8">
        <f>[1]VIABILIDADE!F15</f>
        <v>445.72495944999997</v>
      </c>
      <c r="D10" s="8">
        <f t="shared" si="0"/>
        <v>459.09670823350001</v>
      </c>
    </row>
    <row r="11" spans="1:4" ht="14.25" customHeight="1" x14ac:dyDescent="0.3">
      <c r="A11" s="6" t="s">
        <v>13</v>
      </c>
      <c r="B11" s="7" t="s">
        <v>6</v>
      </c>
      <c r="C11" s="8">
        <f>[1]VIABILIDADE!F16</f>
        <v>732.63739558024679</v>
      </c>
      <c r="D11" s="8">
        <f t="shared" si="0"/>
        <v>754.61651744765425</v>
      </c>
    </row>
    <row r="12" spans="1:4" ht="14.25" customHeight="1" x14ac:dyDescent="0.3">
      <c r="A12" s="6" t="s">
        <v>14</v>
      </c>
      <c r="B12" s="7" t="s">
        <v>6</v>
      </c>
      <c r="C12" s="8">
        <f>[1]VIABILIDADE!F17</f>
        <v>1114.0046612499998</v>
      </c>
      <c r="D12" s="8">
        <f t="shared" si="0"/>
        <v>1147.4248010874999</v>
      </c>
    </row>
    <row r="13" spans="1:4" ht="18" customHeight="1" x14ac:dyDescent="0.3">
      <c r="A13" s="9" t="s">
        <v>15</v>
      </c>
      <c r="B13" s="10" t="s">
        <v>2</v>
      </c>
      <c r="C13" s="84" t="s">
        <v>3</v>
      </c>
      <c r="D13" s="85"/>
    </row>
    <row r="14" spans="1:4" ht="14.25" customHeight="1" x14ac:dyDescent="0.3">
      <c r="A14" s="6" t="s">
        <v>16</v>
      </c>
      <c r="B14" s="11" t="s">
        <v>6</v>
      </c>
      <c r="C14" s="75">
        <f>[1]VIABILIDADE!F18</f>
        <v>110.24512195121953</v>
      </c>
      <c r="D14" s="76"/>
    </row>
    <row r="15" spans="1:4" ht="14.25" customHeight="1" x14ac:dyDescent="0.3">
      <c r="A15" s="6" t="s">
        <v>17</v>
      </c>
      <c r="B15" s="11" t="s">
        <v>6</v>
      </c>
      <c r="C15" s="75">
        <f>[1]VIABILIDADE!F19</f>
        <v>155.35243902439026</v>
      </c>
      <c r="D15" s="76"/>
    </row>
    <row r="16" spans="1:4" ht="14.25" customHeight="1" x14ac:dyDescent="0.3">
      <c r="A16" s="6" t="s">
        <v>18</v>
      </c>
      <c r="B16" s="11" t="s">
        <v>6</v>
      </c>
      <c r="C16" s="75">
        <f>[1]VIABILIDADE!F20</f>
        <v>230.13414634146346</v>
      </c>
      <c r="D16" s="76"/>
    </row>
    <row r="17" spans="1:5" ht="14.25" customHeight="1" x14ac:dyDescent="0.3">
      <c r="A17" s="6" t="s">
        <v>19</v>
      </c>
      <c r="B17" s="11" t="s">
        <v>6</v>
      </c>
      <c r="C17" s="75">
        <f>[1]VIABILIDADE!F21</f>
        <v>369.49457831325304</v>
      </c>
      <c r="D17" s="76"/>
    </row>
    <row r="18" spans="1:5" ht="14.25" customHeight="1" x14ac:dyDescent="0.3">
      <c r="A18" s="6" t="s">
        <v>20</v>
      </c>
      <c r="B18" s="11" t="s">
        <v>6</v>
      </c>
      <c r="C18" s="75">
        <f>[1]VIABILIDADE!F22</f>
        <v>561.08268292682931</v>
      </c>
      <c r="D18" s="76"/>
    </row>
    <row r="19" spans="1:5" ht="18" customHeight="1" x14ac:dyDescent="0.3">
      <c r="A19" s="9" t="s">
        <v>21</v>
      </c>
      <c r="B19" s="10" t="s">
        <v>2</v>
      </c>
      <c r="C19" s="77" t="s">
        <v>22</v>
      </c>
      <c r="D19" s="78"/>
    </row>
    <row r="20" spans="1:5" ht="14.25" customHeight="1" x14ac:dyDescent="0.3">
      <c r="A20" s="6" t="s">
        <v>23</v>
      </c>
      <c r="B20" s="7" t="s">
        <v>6</v>
      </c>
      <c r="C20" s="73">
        <f>[1]VIABILIDADE!F23</f>
        <v>150.2365789473684</v>
      </c>
      <c r="D20" s="74"/>
      <c r="E20" s="47"/>
    </row>
    <row r="21" spans="1:5" ht="14.25" customHeight="1" x14ac:dyDescent="0.3">
      <c r="A21" s="6" t="s">
        <v>24</v>
      </c>
      <c r="B21" s="7" t="s">
        <v>6</v>
      </c>
      <c r="C21" s="73">
        <f>[1]VIABILIDADE!F24</f>
        <v>292.95394736842104</v>
      </c>
      <c r="D21" s="74"/>
      <c r="E21" s="47"/>
    </row>
    <row r="22" spans="1:5" ht="14.25" customHeight="1" x14ac:dyDescent="0.3">
      <c r="A22" s="6" t="s">
        <v>25</v>
      </c>
      <c r="B22" s="7" t="s">
        <v>6</v>
      </c>
      <c r="C22" s="73">
        <f>[1]VIABILIDADE!F25</f>
        <v>423.61381578947379</v>
      </c>
      <c r="D22" s="74"/>
      <c r="E22" s="47"/>
    </row>
    <row r="23" spans="1:5" ht="14.25" customHeight="1" x14ac:dyDescent="0.3">
      <c r="A23" s="6" t="s">
        <v>26</v>
      </c>
      <c r="B23" s="7" t="s">
        <v>6</v>
      </c>
      <c r="C23" s="73">
        <f>[1]VIABILIDADE!F26</f>
        <v>693.05427631578937</v>
      </c>
      <c r="D23" s="74"/>
      <c r="E23" s="47"/>
    </row>
    <row r="24" spans="1:5" ht="14.25" customHeight="1" x14ac:dyDescent="0.3">
      <c r="A24" s="6" t="s">
        <v>27</v>
      </c>
      <c r="B24" s="7" t="s">
        <v>6</v>
      </c>
      <c r="C24" s="73">
        <f>[1]VIABILIDADE!F27</f>
        <v>1028.9587171052633</v>
      </c>
      <c r="D24" s="74"/>
      <c r="E24" s="47"/>
    </row>
    <row r="25" spans="1:5" ht="14.25" customHeight="1" x14ac:dyDescent="0.3">
      <c r="A25" s="6" t="s">
        <v>28</v>
      </c>
      <c r="B25" s="7" t="s">
        <v>6</v>
      </c>
      <c r="C25" s="73">
        <f>[1]VIABILIDADE!F28</f>
        <v>1676.9391447368419</v>
      </c>
      <c r="D25" s="74"/>
      <c r="E25" s="47"/>
    </row>
    <row r="26" spans="1:5" ht="14.25" customHeight="1" x14ac:dyDescent="0.3">
      <c r="A26" s="6" t="s">
        <v>314</v>
      </c>
      <c r="B26" s="7" t="s">
        <v>6</v>
      </c>
      <c r="C26" s="73">
        <f>[1]VIABILIDADE!F29</f>
        <v>2511.6595394736837</v>
      </c>
      <c r="D26" s="74"/>
      <c r="E26" s="47"/>
    </row>
    <row r="27" spans="1:5" ht="14.25" customHeight="1" x14ac:dyDescent="0.3">
      <c r="A27" s="6" t="s">
        <v>29</v>
      </c>
      <c r="B27" s="7" t="s">
        <v>6</v>
      </c>
      <c r="C27" s="73">
        <f>[1]VIABILIDADE!F30</f>
        <v>3805.4289473684212</v>
      </c>
      <c r="D27" s="74"/>
      <c r="E27" s="47"/>
    </row>
    <row r="28" spans="1:5" ht="14.25" customHeight="1" x14ac:dyDescent="0.3">
      <c r="A28" s="6" t="s">
        <v>30</v>
      </c>
      <c r="B28" s="7" t="s">
        <v>6</v>
      </c>
      <c r="C28" s="73">
        <f>[1]VIABILIDADE!F31</f>
        <v>225.09171052631575</v>
      </c>
      <c r="D28" s="74"/>
      <c r="E28" s="47"/>
    </row>
    <row r="29" spans="1:5" ht="14.25" customHeight="1" x14ac:dyDescent="0.3">
      <c r="A29" s="6" t="s">
        <v>31</v>
      </c>
      <c r="B29" s="7" t="s">
        <v>6</v>
      </c>
      <c r="C29" s="73">
        <f>[1]VIABILIDADE!F32</f>
        <v>417.4375</v>
      </c>
      <c r="D29" s="74"/>
      <c r="E29" s="47"/>
    </row>
    <row r="30" spans="1:5" ht="14.25" customHeight="1" x14ac:dyDescent="0.3">
      <c r="A30" s="6" t="s">
        <v>32</v>
      </c>
      <c r="B30" s="7" t="s">
        <v>6</v>
      </c>
      <c r="C30" s="73">
        <f>[1]VIABILIDADE!F33</f>
        <v>627.64671052631581</v>
      </c>
      <c r="D30" s="74"/>
      <c r="E30" s="47"/>
    </row>
    <row r="31" spans="1:5" ht="14.25" customHeight="1" x14ac:dyDescent="0.3">
      <c r="A31" s="6" t="s">
        <v>33</v>
      </c>
      <c r="B31" s="7" t="s">
        <v>6</v>
      </c>
      <c r="C31" s="73">
        <f>[1]VIABILIDADE!F34</f>
        <v>987.29154605263147</v>
      </c>
      <c r="D31" s="74"/>
      <c r="E31" s="47"/>
    </row>
    <row r="32" spans="1:5" ht="14.25" customHeight="1" x14ac:dyDescent="0.3">
      <c r="A32" s="6" t="s">
        <v>34</v>
      </c>
      <c r="B32" s="7" t="s">
        <v>6</v>
      </c>
      <c r="C32" s="73">
        <f>[1]VIABILIDADE!F35</f>
        <v>1474.7796052631579</v>
      </c>
      <c r="D32" s="74"/>
      <c r="E32" s="47"/>
    </row>
    <row r="33" spans="1:5" ht="14.25" customHeight="1" x14ac:dyDescent="0.3">
      <c r="A33" s="6" t="s">
        <v>35</v>
      </c>
      <c r="B33" s="7" t="s">
        <v>6</v>
      </c>
      <c r="C33" s="73">
        <f>[1]VIABILIDADE!F36</f>
        <v>2429.9555921052629</v>
      </c>
      <c r="D33" s="74"/>
      <c r="E33" s="47"/>
    </row>
    <row r="34" spans="1:5" ht="14.25" customHeight="1" x14ac:dyDescent="0.3">
      <c r="A34" s="6" t="s">
        <v>36</v>
      </c>
      <c r="B34" s="7" t="s">
        <v>6</v>
      </c>
      <c r="C34" s="73">
        <f>[1]VIABILIDADE!F37</f>
        <v>3622.5953947368421</v>
      </c>
      <c r="D34" s="74"/>
      <c r="E34" s="47"/>
    </row>
    <row r="35" spans="1:5" ht="14.25" customHeight="1" x14ac:dyDescent="0.3">
      <c r="A35" s="6" t="s">
        <v>315</v>
      </c>
      <c r="B35" s="7" t="s">
        <v>6</v>
      </c>
      <c r="C35" s="73">
        <f>[1]VIABILIDADE!F38</f>
        <v>5425.5016447368434</v>
      </c>
      <c r="D35" s="74"/>
      <c r="E35" s="47"/>
    </row>
    <row r="36" spans="1:5" ht="14.25" customHeight="1" x14ac:dyDescent="0.3">
      <c r="A36" s="6" t="s">
        <v>37</v>
      </c>
      <c r="B36" s="7" t="s">
        <v>6</v>
      </c>
      <c r="C36" s="73">
        <f>[1]VIABILIDADE!F39</f>
        <v>299.94684210526316</v>
      </c>
      <c r="D36" s="74"/>
      <c r="E36" s="47"/>
    </row>
    <row r="37" spans="1:5" ht="14.25" customHeight="1" x14ac:dyDescent="0.3">
      <c r="A37" s="6" t="s">
        <v>38</v>
      </c>
      <c r="B37" s="7" t="s">
        <v>6</v>
      </c>
      <c r="C37" s="73">
        <f>[1]VIABILIDADE!F40</f>
        <v>536.21929824561403</v>
      </c>
      <c r="D37" s="74"/>
      <c r="E37" s="47"/>
    </row>
    <row r="38" spans="1:5" ht="14.25" customHeight="1" x14ac:dyDescent="0.3">
      <c r="A38" s="6" t="s">
        <v>39</v>
      </c>
      <c r="B38" s="7" t="s">
        <v>6</v>
      </c>
      <c r="C38" s="73">
        <f>[1]VIABILIDADE!F41</f>
        <v>802.79111842105272</v>
      </c>
      <c r="D38" s="74"/>
      <c r="E38" s="47"/>
    </row>
    <row r="39" spans="1:5" ht="14.25" customHeight="1" x14ac:dyDescent="0.3">
      <c r="A39" s="6" t="s">
        <v>40</v>
      </c>
      <c r="B39" s="7" t="s">
        <v>6</v>
      </c>
      <c r="C39" s="73">
        <f>[1]VIABILIDADE!F42</f>
        <v>1310.1743421052631</v>
      </c>
      <c r="D39" s="74"/>
      <c r="E39" s="47"/>
    </row>
    <row r="40" spans="1:5" ht="14.25" customHeight="1" x14ac:dyDescent="0.3">
      <c r="A40" s="6" t="s">
        <v>41</v>
      </c>
      <c r="B40" s="7" t="s">
        <v>6</v>
      </c>
      <c r="C40" s="73">
        <f>[1]VIABILIDADE!F43</f>
        <v>1980.2894736842102</v>
      </c>
      <c r="D40" s="74"/>
      <c r="E40" s="47"/>
    </row>
    <row r="41" spans="1:5" ht="14.25" customHeight="1" x14ac:dyDescent="0.3">
      <c r="A41" s="6" t="s">
        <v>42</v>
      </c>
      <c r="B41" s="7" t="s">
        <v>6</v>
      </c>
      <c r="C41" s="73">
        <f>[1]VIABILIDADE!F44</f>
        <v>3214.5296052631579</v>
      </c>
      <c r="D41" s="74"/>
      <c r="E41" s="47"/>
    </row>
    <row r="42" spans="1:5" ht="14.25" customHeight="1" x14ac:dyDescent="0.3">
      <c r="A42" s="6" t="s">
        <v>43</v>
      </c>
      <c r="B42" s="7" t="s">
        <v>6</v>
      </c>
      <c r="C42" s="73">
        <f>[1]VIABILIDADE!F45</f>
        <v>4844.2434210526317</v>
      </c>
      <c r="D42" s="74"/>
      <c r="E42" s="47"/>
    </row>
    <row r="43" spans="1:5" ht="14.25" customHeight="1" x14ac:dyDescent="0.3">
      <c r="A43" s="6" t="s">
        <v>44</v>
      </c>
      <c r="B43" s="7" t="s">
        <v>6</v>
      </c>
      <c r="C43" s="73">
        <f>[1]VIABILIDADE!F46</f>
        <v>374.80197368421057</v>
      </c>
      <c r="D43" s="74"/>
      <c r="E43" s="47"/>
    </row>
    <row r="44" spans="1:5" ht="14.25" customHeight="1" x14ac:dyDescent="0.3">
      <c r="A44" s="6" t="s">
        <v>45</v>
      </c>
      <c r="B44" s="7" t="s">
        <v>6</v>
      </c>
      <c r="C44" s="73">
        <f>[1]VIABILIDADE!F47</f>
        <v>662.53190789473683</v>
      </c>
      <c r="D44" s="74"/>
      <c r="E44" s="47"/>
    </row>
    <row r="45" spans="1:5" ht="14.25" customHeight="1" x14ac:dyDescent="0.3">
      <c r="A45" s="6" t="s">
        <v>46</v>
      </c>
      <c r="B45" s="7" t="s">
        <v>6</v>
      </c>
      <c r="C45" s="73">
        <f>[1]VIABILIDADE!F48</f>
        <v>1027.9621710526314</v>
      </c>
      <c r="D45" s="74"/>
      <c r="E45" s="47"/>
    </row>
    <row r="46" spans="1:5" ht="14.25" customHeight="1" x14ac:dyDescent="0.3">
      <c r="A46" s="6" t="s">
        <v>47</v>
      </c>
      <c r="B46" s="7" t="s">
        <v>6</v>
      </c>
      <c r="C46" s="73">
        <f>[1]VIABILIDADE!F49</f>
        <v>470.55230263157898</v>
      </c>
      <c r="D46" s="74"/>
      <c r="E46" s="47"/>
    </row>
    <row r="47" spans="1:5" ht="14.25" customHeight="1" x14ac:dyDescent="0.3">
      <c r="A47" s="6" t="s">
        <v>48</v>
      </c>
      <c r="B47" s="7" t="s">
        <v>6</v>
      </c>
      <c r="C47" s="73">
        <f>[1]VIABILIDADE!F50</f>
        <v>781.60855263157885</v>
      </c>
      <c r="D47" s="74"/>
      <c r="E47" s="47"/>
    </row>
    <row r="48" spans="1:5" ht="14.25" customHeight="1" x14ac:dyDescent="0.3">
      <c r="A48" s="6" t="s">
        <v>49</v>
      </c>
      <c r="B48" s="7" t="s">
        <v>6</v>
      </c>
      <c r="C48" s="73">
        <f>[1]VIABILIDADE!F51</f>
        <v>1275.8453947368421</v>
      </c>
      <c r="D48" s="74"/>
      <c r="E48" s="47"/>
    </row>
    <row r="49" spans="1:8" ht="14.25" customHeight="1" x14ac:dyDescent="0.3">
      <c r="A49" s="6" t="s">
        <v>50</v>
      </c>
      <c r="B49" s="7" t="s">
        <v>6</v>
      </c>
      <c r="C49" s="73">
        <f>[1]VIABILIDADE!F52</f>
        <v>505.73684210526324</v>
      </c>
      <c r="D49" s="74"/>
      <c r="E49" s="47"/>
    </row>
    <row r="50" spans="1:8" ht="14.25" customHeight="1" x14ac:dyDescent="0.3">
      <c r="A50" s="6" t="s">
        <v>51</v>
      </c>
      <c r="B50" s="7" t="s">
        <v>6</v>
      </c>
      <c r="C50" s="73">
        <f>[1]VIABILIDADE!F53</f>
        <v>914.31249999999989</v>
      </c>
      <c r="D50" s="74"/>
      <c r="E50" s="47"/>
    </row>
    <row r="51" spans="1:8" ht="14.25" customHeight="1" x14ac:dyDescent="0.3">
      <c r="A51" s="6" t="s">
        <v>52</v>
      </c>
      <c r="B51" s="12" t="s">
        <v>6</v>
      </c>
      <c r="C51" s="73">
        <f>[1]VIABILIDADE!F54</f>
        <v>1485.8749999999998</v>
      </c>
      <c r="D51" s="74"/>
      <c r="E51" s="47"/>
    </row>
    <row r="52" spans="1:8" ht="14.25" customHeight="1" thickBot="1" x14ac:dyDescent="0.35">
      <c r="A52" s="13"/>
      <c r="B52" s="86" t="s">
        <v>316</v>
      </c>
      <c r="C52" s="87"/>
      <c r="D52" s="88"/>
      <c r="G52" s="50"/>
    </row>
    <row r="53" spans="1:8" ht="14.25" customHeight="1" x14ac:dyDescent="0.3">
      <c r="A53" s="14"/>
      <c r="B53" s="15">
        <v>69.5</v>
      </c>
      <c r="C53" s="89">
        <v>8.9</v>
      </c>
      <c r="D53" s="90"/>
    </row>
    <row r="54" spans="1:8" ht="58.5" customHeight="1" x14ac:dyDescent="0.3">
      <c r="A54" s="91" t="s">
        <v>313</v>
      </c>
      <c r="B54" s="92"/>
      <c r="C54" s="92"/>
      <c r="D54" s="92"/>
      <c r="H54" s="49"/>
    </row>
    <row r="55" spans="1:8" ht="14.25" customHeight="1" x14ac:dyDescent="0.3"/>
    <row r="56" spans="1:8" ht="14.25" customHeight="1" x14ac:dyDescent="0.3"/>
    <row r="57" spans="1:8" ht="14.25" customHeight="1" x14ac:dyDescent="0.3"/>
    <row r="58" spans="1:8" ht="14.25" customHeight="1" x14ac:dyDescent="0.3"/>
    <row r="59" spans="1:8" ht="14.25" customHeight="1" x14ac:dyDescent="0.3"/>
    <row r="60" spans="1:8" ht="14.25" customHeight="1" x14ac:dyDescent="0.3"/>
    <row r="61" spans="1:8" ht="14.25" customHeight="1" x14ac:dyDescent="0.3"/>
    <row r="62" spans="1:8" ht="14.25" customHeight="1" x14ac:dyDescent="0.3"/>
    <row r="63" spans="1:8" ht="14.25" customHeight="1" x14ac:dyDescent="0.3"/>
    <row r="64" spans="1:8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</sheetData>
  <mergeCells count="44">
    <mergeCell ref="C50:D50"/>
    <mergeCell ref="C51:D51"/>
    <mergeCell ref="B52:D52"/>
    <mergeCell ref="C53:D53"/>
    <mergeCell ref="A54:D54"/>
    <mergeCell ref="C49:D49"/>
    <mergeCell ref="C41:D41"/>
    <mergeCell ref="C42:D42"/>
    <mergeCell ref="C43:D43"/>
    <mergeCell ref="C44:D44"/>
    <mergeCell ref="C45:D45"/>
    <mergeCell ref="C46:D46"/>
    <mergeCell ref="C47:D47"/>
    <mergeCell ref="C37:D37"/>
    <mergeCell ref="C38:D38"/>
    <mergeCell ref="C39:D39"/>
    <mergeCell ref="C40:D40"/>
    <mergeCell ref="C48:D48"/>
    <mergeCell ref="C31:D31"/>
    <mergeCell ref="C32:D32"/>
    <mergeCell ref="C33:D33"/>
    <mergeCell ref="C34:D34"/>
    <mergeCell ref="C36:D36"/>
    <mergeCell ref="C35:D35"/>
    <mergeCell ref="C25:D25"/>
    <mergeCell ref="C27:D27"/>
    <mergeCell ref="C28:D28"/>
    <mergeCell ref="C29:D29"/>
    <mergeCell ref="C30:D30"/>
    <mergeCell ref="C26:D26"/>
    <mergeCell ref="A1:D1"/>
    <mergeCell ref="A2:D2"/>
    <mergeCell ref="C13:D13"/>
    <mergeCell ref="C14:D14"/>
    <mergeCell ref="C15:D15"/>
    <mergeCell ref="C21:D21"/>
    <mergeCell ref="C22:D22"/>
    <mergeCell ref="C23:D23"/>
    <mergeCell ref="C24:D24"/>
    <mergeCell ref="C16:D16"/>
    <mergeCell ref="C17:D17"/>
    <mergeCell ref="C18:D18"/>
    <mergeCell ref="C19:D19"/>
    <mergeCell ref="C20:D20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C1000"/>
  <sheetViews>
    <sheetView topLeftCell="A10" workbookViewId="0">
      <selection activeCell="B31" sqref="B31:C31"/>
    </sheetView>
  </sheetViews>
  <sheetFormatPr defaultColWidth="14.44140625" defaultRowHeight="15" customHeight="1" x14ac:dyDescent="0.3"/>
  <cols>
    <col min="1" max="1" width="56.6640625" customWidth="1"/>
    <col min="2" max="2" width="9.33203125" customWidth="1"/>
    <col min="3" max="3" width="20" customWidth="1"/>
    <col min="4" max="26" width="8.6640625" customWidth="1"/>
  </cols>
  <sheetData>
    <row r="1" spans="1:3" ht="54" customHeight="1" x14ac:dyDescent="0.4">
      <c r="A1" s="93" t="s">
        <v>0</v>
      </c>
      <c r="B1" s="94"/>
      <c r="C1" s="74"/>
    </row>
    <row r="2" spans="1:3" ht="65.25" customHeight="1" x14ac:dyDescent="0.3">
      <c r="A2" s="95" t="s">
        <v>305</v>
      </c>
      <c r="B2" s="96"/>
      <c r="C2" s="97"/>
    </row>
    <row r="3" spans="1:3" ht="14.25" customHeight="1" x14ac:dyDescent="0.3">
      <c r="A3" s="28" t="s">
        <v>55</v>
      </c>
      <c r="B3" s="29" t="s">
        <v>2</v>
      </c>
      <c r="C3" s="29" t="s">
        <v>3</v>
      </c>
    </row>
    <row r="4" spans="1:3" ht="14.25" customHeight="1" x14ac:dyDescent="0.3">
      <c r="A4" s="19" t="s">
        <v>115</v>
      </c>
      <c r="B4" s="17" t="s">
        <v>6</v>
      </c>
      <c r="C4" s="30">
        <f>[1]VIABILIDADE!F59</f>
        <v>85.975810810810813</v>
      </c>
    </row>
    <row r="5" spans="1:3" ht="14.25" customHeight="1" x14ac:dyDescent="0.3">
      <c r="A5" s="6" t="s">
        <v>116</v>
      </c>
      <c r="B5" s="7" t="s">
        <v>6</v>
      </c>
      <c r="C5" s="30">
        <f>[1]VIABILIDADE!F60</f>
        <v>131.00273291925464</v>
      </c>
    </row>
    <row r="6" spans="1:3" ht="14.25" customHeight="1" x14ac:dyDescent="0.3">
      <c r="A6" s="6" t="s">
        <v>117</v>
      </c>
      <c r="B6" s="7" t="s">
        <v>6</v>
      </c>
      <c r="C6" s="30">
        <f>[1]VIABILIDADE!F61</f>
        <v>208.14945945945945</v>
      </c>
    </row>
    <row r="7" spans="1:3" ht="14.25" customHeight="1" x14ac:dyDescent="0.3">
      <c r="A7" s="6" t="s">
        <v>118</v>
      </c>
      <c r="B7" s="7" t="s">
        <v>6</v>
      </c>
      <c r="C7" s="30">
        <f>[1]VIABILIDADE!F62</f>
        <v>317.49635135135134</v>
      </c>
    </row>
    <row r="8" spans="1:3" ht="14.25" customHeight="1" x14ac:dyDescent="0.3">
      <c r="A8" s="6" t="s">
        <v>119</v>
      </c>
      <c r="B8" s="7" t="s">
        <v>6</v>
      </c>
      <c r="C8" s="30">
        <f>[1]VIABILIDADE!F63</f>
        <v>553.07666666666671</v>
      </c>
    </row>
    <row r="9" spans="1:3" ht="14.25" customHeight="1" x14ac:dyDescent="0.3">
      <c r="A9" s="6" t="s">
        <v>120</v>
      </c>
      <c r="B9" s="7" t="s">
        <v>6</v>
      </c>
      <c r="C9" s="30">
        <f>[1]VIABILIDADE!F64</f>
        <v>801.19666666666672</v>
      </c>
    </row>
    <row r="10" spans="1:3" ht="14.25" customHeight="1" x14ac:dyDescent="0.3">
      <c r="A10" s="6" t="s">
        <v>121</v>
      </c>
      <c r="B10" s="7" t="s">
        <v>6</v>
      </c>
      <c r="C10" s="30">
        <f>[1]VIABILIDADE!F65</f>
        <v>103.03666175135136</v>
      </c>
    </row>
    <row r="11" spans="1:3" ht="14.25" customHeight="1" x14ac:dyDescent="0.3">
      <c r="A11" s="6" t="s">
        <v>122</v>
      </c>
      <c r="B11" s="7" t="s">
        <v>6</v>
      </c>
      <c r="C11" s="30">
        <f>[1]VIABILIDADE!F66</f>
        <v>129.85153915675676</v>
      </c>
    </row>
    <row r="12" spans="1:3" ht="14.25" customHeight="1" x14ac:dyDescent="0.3">
      <c r="A12" s="6" t="s">
        <v>123</v>
      </c>
      <c r="B12" s="7" t="s">
        <v>6</v>
      </c>
      <c r="C12" s="30">
        <f>[1]VIABILIDADE!F67</f>
        <v>173.63694957837839</v>
      </c>
    </row>
    <row r="13" spans="1:3" ht="14.25" customHeight="1" x14ac:dyDescent="0.3">
      <c r="A13" s="6" t="s">
        <v>124</v>
      </c>
      <c r="B13" s="7" t="s">
        <v>6</v>
      </c>
      <c r="C13" s="30">
        <f>[1]VIABILIDADE!F68</f>
        <v>258.63500242962959</v>
      </c>
    </row>
    <row r="14" spans="1:3" ht="14.25" customHeight="1" x14ac:dyDescent="0.3">
      <c r="A14" s="6" t="s">
        <v>125</v>
      </c>
      <c r="B14" s="7" t="s">
        <v>6</v>
      </c>
      <c r="C14" s="30">
        <f>[1]VIABILIDADE!F69</f>
        <v>415.68724994594589</v>
      </c>
    </row>
    <row r="15" spans="1:3" ht="14.25" customHeight="1" x14ac:dyDescent="0.3">
      <c r="A15" s="6" t="s">
        <v>126</v>
      </c>
      <c r="B15" s="7" t="s">
        <v>6</v>
      </c>
      <c r="C15" s="30">
        <f>[1]VIABILIDADE!F70</f>
        <v>272.67121212121208</v>
      </c>
    </row>
    <row r="16" spans="1:3" ht="14.25" customHeight="1" x14ac:dyDescent="0.3">
      <c r="A16" s="6" t="s">
        <v>127</v>
      </c>
      <c r="B16" s="7" t="s">
        <v>6</v>
      </c>
      <c r="C16" s="30">
        <f>[1]VIABILIDADE!F71</f>
        <v>390.2247826086957</v>
      </c>
    </row>
    <row r="17" spans="1:3" ht="14.25" customHeight="1" x14ac:dyDescent="0.3">
      <c r="A17" s="6" t="s">
        <v>128</v>
      </c>
      <c r="B17" s="7" t="s">
        <v>6</v>
      </c>
      <c r="C17" s="30">
        <f>[1]VIABILIDADE!F72</f>
        <v>593.31363636363631</v>
      </c>
    </row>
    <row r="18" spans="1:3" ht="14.25" customHeight="1" x14ac:dyDescent="0.3">
      <c r="A18" s="6" t="s">
        <v>129</v>
      </c>
      <c r="B18" s="7" t="s">
        <v>6</v>
      </c>
      <c r="C18" s="30">
        <f>[1]VIABILIDADE!F73</f>
        <v>861.2530303030303</v>
      </c>
    </row>
    <row r="19" spans="1:3" ht="14.25" customHeight="1" x14ac:dyDescent="0.3">
      <c r="A19" s="6" t="s">
        <v>130</v>
      </c>
      <c r="B19" s="7" t="s">
        <v>6</v>
      </c>
      <c r="C19" s="30">
        <f>[1]VIABILIDADE!F74</f>
        <v>382.6431818181818</v>
      </c>
    </row>
    <row r="20" spans="1:3" ht="14.25" customHeight="1" x14ac:dyDescent="0.3">
      <c r="A20" s="6" t="s">
        <v>131</v>
      </c>
      <c r="B20" s="7" t="s">
        <v>6</v>
      </c>
      <c r="C20" s="30">
        <f>[1]VIABILIDADE!F75</f>
        <v>566.18161764705883</v>
      </c>
    </row>
    <row r="21" spans="1:3" ht="14.25" customHeight="1" x14ac:dyDescent="0.35">
      <c r="A21" s="98" t="s">
        <v>132</v>
      </c>
      <c r="B21" s="99"/>
      <c r="C21" s="78"/>
    </row>
    <row r="22" spans="1:3" ht="14.25" customHeight="1" x14ac:dyDescent="0.3">
      <c r="A22" s="6" t="s">
        <v>133</v>
      </c>
      <c r="B22" s="7" t="s">
        <v>6</v>
      </c>
      <c r="C22" s="8">
        <f>[1]VIABILIDADE!F80</f>
        <v>77.030921052631584</v>
      </c>
    </row>
    <row r="23" spans="1:3" ht="14.25" customHeight="1" x14ac:dyDescent="0.3">
      <c r="A23" s="6" t="s">
        <v>134</v>
      </c>
      <c r="B23" s="7" t="s">
        <v>6</v>
      </c>
      <c r="C23" s="8">
        <f>[1]VIABILIDADE!F81</f>
        <v>122.84993421052631</v>
      </c>
    </row>
    <row r="24" spans="1:3" ht="14.25" customHeight="1" x14ac:dyDescent="0.3">
      <c r="A24" s="6" t="s">
        <v>135</v>
      </c>
      <c r="B24" s="7" t="s">
        <v>6</v>
      </c>
      <c r="C24" s="8">
        <f>[1]VIABILIDADE!F82</f>
        <v>189.05572368421053</v>
      </c>
    </row>
    <row r="25" spans="1:3" ht="14.25" customHeight="1" x14ac:dyDescent="0.3">
      <c r="A25" s="6" t="s">
        <v>136</v>
      </c>
      <c r="B25" s="7" t="s">
        <v>6</v>
      </c>
      <c r="C25" s="8">
        <f>[1]VIABILIDADE!F83</f>
        <v>306.26141447368423</v>
      </c>
    </row>
    <row r="26" spans="1:3" ht="14.25" customHeight="1" x14ac:dyDescent="0.3">
      <c r="A26" s="6" t="s">
        <v>137</v>
      </c>
      <c r="B26" s="7" t="s">
        <v>6</v>
      </c>
      <c r="C26" s="8">
        <f>[1]VIABILIDADE!F84</f>
        <v>478.33026315789482</v>
      </c>
    </row>
    <row r="27" spans="1:3" ht="14.25" customHeight="1" x14ac:dyDescent="0.3">
      <c r="A27" s="6" t="s">
        <v>120</v>
      </c>
      <c r="B27" s="7" t="s">
        <v>6</v>
      </c>
      <c r="C27" s="8">
        <f>[1]VIABILIDADE!F85</f>
        <v>770.42523355263165</v>
      </c>
    </row>
    <row r="28" spans="1:3" ht="14.25" customHeight="1" x14ac:dyDescent="0.3">
      <c r="A28" s="6" t="s">
        <v>138</v>
      </c>
      <c r="B28" s="7" t="s">
        <v>6</v>
      </c>
      <c r="C28" s="8">
        <f>[1]VIABILIDADE!F86</f>
        <v>147.61913267368422</v>
      </c>
    </row>
    <row r="29" spans="1:3" ht="14.25" customHeight="1" x14ac:dyDescent="0.3">
      <c r="A29" s="6" t="s">
        <v>139</v>
      </c>
      <c r="B29" s="7" t="s">
        <v>6</v>
      </c>
      <c r="C29" s="8">
        <f>[1]VIABILIDADE!F87</f>
        <v>237.48241487999996</v>
      </c>
    </row>
    <row r="30" spans="1:3" ht="14.25" customHeight="1" x14ac:dyDescent="0.3">
      <c r="A30" s="6" t="s">
        <v>140</v>
      </c>
      <c r="B30" s="12" t="s">
        <v>6</v>
      </c>
      <c r="C30" s="8">
        <f>[1]VIABILIDADE!F88</f>
        <v>367.94198729263167</v>
      </c>
    </row>
    <row r="31" spans="1:3" ht="14.25" customHeight="1" x14ac:dyDescent="0.3">
      <c r="A31" s="13"/>
      <c r="B31" s="86" t="s">
        <v>316</v>
      </c>
      <c r="C31" s="88"/>
    </row>
    <row r="32" spans="1:3" ht="14.25" customHeight="1" x14ac:dyDescent="0.3">
      <c r="A32" s="14"/>
      <c r="B32" s="52">
        <v>69.5</v>
      </c>
      <c r="C32" s="51">
        <v>8.9</v>
      </c>
    </row>
    <row r="33" spans="1:3" ht="60" customHeight="1" x14ac:dyDescent="0.3">
      <c r="A33" s="100" t="s">
        <v>141</v>
      </c>
      <c r="B33" s="101"/>
      <c r="C33" s="102"/>
    </row>
    <row r="34" spans="1:3" ht="14.25" customHeight="1" x14ac:dyDescent="0.3"/>
    <row r="35" spans="1:3" ht="14.25" customHeight="1" x14ac:dyDescent="0.3"/>
    <row r="36" spans="1:3" ht="14.25" customHeight="1" x14ac:dyDescent="0.3"/>
    <row r="37" spans="1:3" ht="14.25" customHeight="1" x14ac:dyDescent="0.3"/>
    <row r="38" spans="1:3" ht="14.25" customHeight="1" x14ac:dyDescent="0.3"/>
    <row r="39" spans="1:3" ht="14.25" customHeight="1" x14ac:dyDescent="0.3"/>
    <row r="40" spans="1:3" ht="14.25" customHeight="1" x14ac:dyDescent="0.3"/>
    <row r="41" spans="1:3" ht="14.25" customHeight="1" x14ac:dyDescent="0.3"/>
    <row r="42" spans="1:3" ht="14.25" customHeight="1" x14ac:dyDescent="0.3"/>
    <row r="43" spans="1:3" ht="14.25" customHeight="1" x14ac:dyDescent="0.3"/>
    <row r="44" spans="1:3" ht="14.25" customHeight="1" x14ac:dyDescent="0.3"/>
    <row r="45" spans="1:3" ht="14.25" customHeight="1" x14ac:dyDescent="0.3"/>
    <row r="46" spans="1:3" ht="14.25" customHeight="1" x14ac:dyDescent="0.3"/>
    <row r="47" spans="1:3" ht="14.25" customHeight="1" x14ac:dyDescent="0.3"/>
    <row r="48" spans="1:3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5">
    <mergeCell ref="A1:C1"/>
    <mergeCell ref="A2:C2"/>
    <mergeCell ref="A21:C21"/>
    <mergeCell ref="B31:C31"/>
    <mergeCell ref="A33:C33"/>
  </mergeCells>
  <pageMargins left="0.511811024" right="0.511811024" top="0.78740157499999996" bottom="0.78740157499999996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1002"/>
  <sheetViews>
    <sheetView tabSelected="1" topLeftCell="A13" zoomScale="118" zoomScaleNormal="118" workbookViewId="0">
      <selection activeCell="C18" sqref="C18"/>
    </sheetView>
  </sheetViews>
  <sheetFormatPr defaultColWidth="14.44140625" defaultRowHeight="15" customHeight="1" x14ac:dyDescent="0.3"/>
  <cols>
    <col min="1" max="1" width="57.6640625" customWidth="1"/>
    <col min="2" max="2" width="5.44140625" customWidth="1"/>
    <col min="3" max="3" width="12.109375" customWidth="1"/>
    <col min="4" max="4" width="13.109375" customWidth="1"/>
    <col min="5" max="6" width="8.6640625" customWidth="1"/>
    <col min="7" max="7" width="12.33203125" customWidth="1"/>
    <col min="8" max="26" width="8.6640625" customWidth="1"/>
  </cols>
  <sheetData>
    <row r="1" spans="1:7" ht="14.25" customHeight="1" x14ac:dyDescent="0.4">
      <c r="A1" s="103" t="s">
        <v>0</v>
      </c>
      <c r="B1" s="87"/>
      <c r="C1" s="87"/>
      <c r="D1" s="88"/>
      <c r="E1" s="14"/>
      <c r="F1" s="14"/>
      <c r="G1" s="14"/>
    </row>
    <row r="2" spans="1:7" ht="70.5" customHeight="1" x14ac:dyDescent="0.3">
      <c r="A2" s="1"/>
      <c r="B2" s="14"/>
      <c r="C2" s="104"/>
      <c r="D2" s="105"/>
      <c r="E2" s="14"/>
      <c r="F2" s="14"/>
      <c r="G2" s="14"/>
    </row>
    <row r="3" spans="1:7" ht="14.25" customHeight="1" thickBot="1" x14ac:dyDescent="0.35">
      <c r="A3" s="68" t="s">
        <v>55</v>
      </c>
      <c r="B3" s="25" t="s">
        <v>2</v>
      </c>
      <c r="C3" s="106" t="s">
        <v>56</v>
      </c>
      <c r="D3" s="107"/>
      <c r="E3" s="14"/>
      <c r="F3" s="14"/>
      <c r="G3" s="14"/>
    </row>
    <row r="4" spans="1:7" ht="14.25" customHeight="1" thickBot="1" x14ac:dyDescent="0.4">
      <c r="A4" s="108" t="s">
        <v>57</v>
      </c>
      <c r="B4" s="109"/>
      <c r="C4" s="109"/>
      <c r="D4" s="110"/>
      <c r="E4" s="14"/>
      <c r="F4" s="14"/>
      <c r="G4" s="14"/>
    </row>
    <row r="5" spans="1:7" ht="14.25" customHeight="1" thickBot="1" x14ac:dyDescent="0.4">
      <c r="A5" s="66" t="s">
        <v>58</v>
      </c>
      <c r="B5" s="67" t="s">
        <v>59</v>
      </c>
      <c r="C5" s="111">
        <v>6.6</v>
      </c>
      <c r="D5" s="112"/>
      <c r="E5" s="14"/>
      <c r="F5" s="14"/>
      <c r="G5" s="14"/>
    </row>
    <row r="6" spans="1:7" ht="14.25" customHeight="1" thickBot="1" x14ac:dyDescent="0.35">
      <c r="A6" s="113" t="s">
        <v>60</v>
      </c>
      <c r="B6" s="109"/>
      <c r="C6" s="109"/>
      <c r="D6" s="110"/>
      <c r="E6" s="14"/>
      <c r="F6" s="14"/>
      <c r="G6" s="14"/>
    </row>
    <row r="7" spans="1:7" ht="14.25" customHeight="1" x14ac:dyDescent="0.35">
      <c r="A7" s="6" t="s">
        <v>61</v>
      </c>
      <c r="B7" s="18" t="s">
        <v>59</v>
      </c>
      <c r="C7" s="114">
        <f>[1]VIABILIDADE!F127</f>
        <v>0</v>
      </c>
      <c r="D7" s="78"/>
      <c r="E7" s="14"/>
      <c r="F7" s="14"/>
      <c r="G7" s="14"/>
    </row>
    <row r="8" spans="1:7" ht="14.25" customHeight="1" thickBot="1" x14ac:dyDescent="0.4">
      <c r="A8" s="66" t="s">
        <v>62</v>
      </c>
      <c r="B8" s="67" t="s">
        <v>59</v>
      </c>
      <c r="C8" s="115">
        <f>[1]VIABILIDADE!$F$136</f>
        <v>4.9800000000000004</v>
      </c>
      <c r="D8" s="116"/>
      <c r="E8" s="14"/>
      <c r="F8" s="14"/>
      <c r="G8" s="14"/>
    </row>
    <row r="9" spans="1:7" ht="14.25" customHeight="1" thickBot="1" x14ac:dyDescent="0.4">
      <c r="A9" s="108" t="s">
        <v>63</v>
      </c>
      <c r="B9" s="109"/>
      <c r="C9" s="110"/>
      <c r="D9" s="65" t="s">
        <v>64</v>
      </c>
      <c r="E9" s="14"/>
      <c r="F9" s="14"/>
      <c r="G9" s="14"/>
    </row>
    <row r="10" spans="1:7" ht="14.25" customHeight="1" x14ac:dyDescent="0.3">
      <c r="A10" s="6" t="s">
        <v>65</v>
      </c>
      <c r="B10" s="7" t="s">
        <v>59</v>
      </c>
      <c r="C10" s="21">
        <f>[1]VIABILIDADE!F128</f>
        <v>6.7694805194805188</v>
      </c>
      <c r="D10" s="21">
        <v>0</v>
      </c>
      <c r="E10" s="14"/>
      <c r="F10" s="14"/>
      <c r="G10" s="22"/>
    </row>
    <row r="11" spans="1:7" ht="14.25" customHeight="1" x14ac:dyDescent="0.3">
      <c r="A11" s="6" t="s">
        <v>66</v>
      </c>
      <c r="B11" s="7" t="s">
        <v>59</v>
      </c>
      <c r="C11" s="21">
        <f>[1]VIABILIDADE!F129</f>
        <v>9.4772727272727266</v>
      </c>
      <c r="D11" s="21">
        <f>[1]VIABILIDADE!N116/0.78</f>
        <v>9.7166666666666668</v>
      </c>
      <c r="E11" s="14"/>
      <c r="F11" s="14"/>
      <c r="G11" s="22"/>
    </row>
    <row r="12" spans="1:7" ht="14.25" customHeight="1" x14ac:dyDescent="0.3">
      <c r="A12" s="6" t="s">
        <v>67</v>
      </c>
      <c r="B12" s="7" t="s">
        <v>59</v>
      </c>
      <c r="C12" s="21">
        <f>[1]VIABILIDADE!F130</f>
        <v>14.480519480519481</v>
      </c>
      <c r="D12" s="21">
        <f>[1]VIABILIDADE!N117/0.78</f>
        <v>15.4</v>
      </c>
      <c r="E12" s="14"/>
      <c r="F12" s="14"/>
      <c r="G12" s="22"/>
    </row>
    <row r="13" spans="1:7" ht="14.25" customHeight="1" x14ac:dyDescent="0.3">
      <c r="A13" s="6" t="s">
        <v>68</v>
      </c>
      <c r="B13" s="7" t="s">
        <v>59</v>
      </c>
      <c r="C13" s="21">
        <f>[1]VIABILIDADE!F131</f>
        <v>20.308441558441558</v>
      </c>
      <c r="D13" s="21">
        <f>[1]VIABILIDADE!N118/0.78</f>
        <v>22.275000000000002</v>
      </c>
      <c r="E13" s="14"/>
      <c r="F13" s="14"/>
      <c r="G13" s="22"/>
    </row>
    <row r="14" spans="1:7" ht="14.25" customHeight="1" x14ac:dyDescent="0.3">
      <c r="A14" s="6" t="s">
        <v>69</v>
      </c>
      <c r="B14" s="7" t="s">
        <v>59</v>
      </c>
      <c r="C14" s="21">
        <f>[1]VIABILIDADE!F132</f>
        <v>27.545454545454547</v>
      </c>
      <c r="D14" s="21">
        <f>[1]VIABILIDADE!N119/0.78</f>
        <v>32.633333333333326</v>
      </c>
      <c r="E14" s="14"/>
      <c r="F14" s="14"/>
      <c r="G14" s="22"/>
    </row>
    <row r="15" spans="1:7" ht="14.25" customHeight="1" x14ac:dyDescent="0.3">
      <c r="A15" s="6" t="s">
        <v>70</v>
      </c>
      <c r="B15" s="7" t="s">
        <v>59</v>
      </c>
      <c r="C15" s="21">
        <f>[1]VIABILIDADE!F133</f>
        <v>49.350649350649348</v>
      </c>
      <c r="D15" s="21">
        <f>[1]VIABILIDADE!N120/0.78</f>
        <v>41.43333333333333</v>
      </c>
      <c r="E15" s="14"/>
      <c r="F15" s="14"/>
      <c r="G15" s="14"/>
    </row>
    <row r="16" spans="1:7" ht="14.25" customHeight="1" x14ac:dyDescent="0.3">
      <c r="A16" s="6" t="s">
        <v>71</v>
      </c>
      <c r="B16" s="7" t="s">
        <v>59</v>
      </c>
      <c r="C16" s="21">
        <f>[1]VIABILIDADE!F134</f>
        <v>37.909090909090907</v>
      </c>
      <c r="D16" s="21">
        <f>[1]VIABILIDADE!N121/0.78</f>
        <v>53.258333333333333</v>
      </c>
      <c r="E16" s="14"/>
      <c r="F16" s="14"/>
      <c r="G16" s="14"/>
    </row>
    <row r="17" spans="1:7" ht="14.25" customHeight="1" x14ac:dyDescent="0.35">
      <c r="A17" s="117" t="s">
        <v>72</v>
      </c>
      <c r="B17" s="94"/>
      <c r="C17" s="74"/>
      <c r="D17" s="10" t="s">
        <v>73</v>
      </c>
      <c r="E17" s="14"/>
      <c r="F17" s="14"/>
      <c r="G17" s="14"/>
    </row>
    <row r="18" spans="1:7" ht="14.25" customHeight="1" x14ac:dyDescent="0.3">
      <c r="A18" s="6" t="s">
        <v>74</v>
      </c>
      <c r="B18" s="7" t="s">
        <v>59</v>
      </c>
      <c r="C18" s="21">
        <f>[1]VIABILIDADE!F95</f>
        <v>742.11346153846159</v>
      </c>
      <c r="D18" s="21">
        <f>C18/100</f>
        <v>7.4211346153846156</v>
      </c>
      <c r="E18" s="14"/>
      <c r="F18" s="14"/>
      <c r="G18" s="14"/>
    </row>
    <row r="19" spans="1:7" ht="14.25" customHeight="1" x14ac:dyDescent="0.3">
      <c r="A19" s="6" t="s">
        <v>75</v>
      </c>
      <c r="B19" s="7" t="s">
        <v>59</v>
      </c>
      <c r="C19" s="21">
        <f>[1]VIABILIDADE!F96</f>
        <v>1128.8205128205129</v>
      </c>
      <c r="D19" s="21">
        <f t="shared" ref="D19:D29" si="0">C19/100</f>
        <v>11.28820512820513</v>
      </c>
      <c r="E19" s="14"/>
      <c r="F19" s="14"/>
      <c r="G19" s="14"/>
    </row>
    <row r="20" spans="1:7" ht="14.25" customHeight="1" x14ac:dyDescent="0.3">
      <c r="A20" s="6" t="s">
        <v>76</v>
      </c>
      <c r="B20" s="7" t="s">
        <v>59</v>
      </c>
      <c r="C20" s="21">
        <f>[1]VIABILIDADE!F97</f>
        <v>1688.9307692307691</v>
      </c>
      <c r="D20" s="21">
        <f t="shared" si="0"/>
        <v>16.889307692307693</v>
      </c>
      <c r="E20" s="14"/>
      <c r="F20" s="14"/>
      <c r="G20" s="14"/>
    </row>
    <row r="21" spans="1:7" ht="14.25" customHeight="1" x14ac:dyDescent="0.3">
      <c r="A21" s="6" t="s">
        <v>77</v>
      </c>
      <c r="B21" s="7" t="s">
        <v>59</v>
      </c>
      <c r="C21" s="21">
        <f>[1]VIABILIDADE!F98</f>
        <v>2274.4871794871792</v>
      </c>
      <c r="D21" s="21">
        <f t="shared" si="0"/>
        <v>22.744871794871791</v>
      </c>
      <c r="E21" s="14"/>
      <c r="F21" s="14"/>
      <c r="G21" s="14"/>
    </row>
    <row r="22" spans="1:7" ht="14.25" customHeight="1" x14ac:dyDescent="0.3">
      <c r="A22" s="6" t="s">
        <v>78</v>
      </c>
      <c r="B22" s="7" t="s">
        <v>59</v>
      </c>
      <c r="C22" s="21">
        <f>[1]VIABILIDADE!F99</f>
        <v>3143.7820512820508</v>
      </c>
      <c r="D22" s="21">
        <f t="shared" si="0"/>
        <v>31.437820512820508</v>
      </c>
      <c r="E22" s="14"/>
      <c r="F22" s="14"/>
      <c r="G22" s="14"/>
    </row>
    <row r="23" spans="1:7" ht="14.25" customHeight="1" x14ac:dyDescent="0.3">
      <c r="A23" s="6" t="s">
        <v>79</v>
      </c>
      <c r="B23" s="7" t="s">
        <v>59</v>
      </c>
      <c r="C23" s="21">
        <f>[1]VIABILIDADE!F100</f>
        <v>4480.7692307692296</v>
      </c>
      <c r="D23" s="21">
        <f t="shared" si="0"/>
        <v>44.807692307692292</v>
      </c>
      <c r="E23" s="14"/>
      <c r="F23" s="14"/>
      <c r="G23" s="14"/>
    </row>
    <row r="24" spans="1:7" ht="14.25" customHeight="1" x14ac:dyDescent="0.3">
      <c r="A24" s="6" t="s">
        <v>80</v>
      </c>
      <c r="B24" s="7" t="s">
        <v>59</v>
      </c>
      <c r="C24" s="21">
        <f>[1]VIABILIDADE!F101</f>
        <v>6266.923076923078</v>
      </c>
      <c r="D24" s="21">
        <f t="shared" si="0"/>
        <v>62.669230769230779</v>
      </c>
      <c r="E24" s="14"/>
      <c r="F24" s="14"/>
      <c r="G24" s="14"/>
    </row>
    <row r="25" spans="1:7" ht="14.25" customHeight="1" x14ac:dyDescent="0.3">
      <c r="A25" s="6" t="s">
        <v>81</v>
      </c>
      <c r="B25" s="7" t="s">
        <v>59</v>
      </c>
      <c r="C25" s="21">
        <f>[1]VIABILIDADE!F102</f>
        <v>7913.3974358974356</v>
      </c>
      <c r="D25" s="21">
        <f t="shared" si="0"/>
        <v>79.133974358974356</v>
      </c>
      <c r="E25" s="14"/>
      <c r="F25" s="14"/>
      <c r="G25" s="14"/>
    </row>
    <row r="26" spans="1:7" ht="14.25" customHeight="1" x14ac:dyDescent="0.3">
      <c r="A26" s="6" t="s">
        <v>82</v>
      </c>
      <c r="B26" s="7" t="s">
        <v>59</v>
      </c>
      <c r="C26" s="21">
        <f>[1]VIABILIDADE!F103</f>
        <v>10192.75641025641</v>
      </c>
      <c r="D26" s="21">
        <f t="shared" si="0"/>
        <v>101.92756410256411</v>
      </c>
      <c r="E26" s="14"/>
      <c r="F26" s="14"/>
      <c r="G26" s="14"/>
    </row>
    <row r="27" spans="1:7" ht="14.25" customHeight="1" x14ac:dyDescent="0.3">
      <c r="A27" s="6" t="s">
        <v>83</v>
      </c>
      <c r="B27" s="7" t="s">
        <v>59</v>
      </c>
      <c r="C27" s="21">
        <f>[1]VIABILIDADE!F104</f>
        <v>12174.743589743588</v>
      </c>
      <c r="D27" s="21">
        <f t="shared" si="0"/>
        <v>121.74743589743588</v>
      </c>
      <c r="E27" s="14"/>
      <c r="F27" s="14"/>
      <c r="G27" s="14"/>
    </row>
    <row r="28" spans="1:7" ht="14.25" customHeight="1" x14ac:dyDescent="0.3">
      <c r="A28" s="6" t="s">
        <v>84</v>
      </c>
      <c r="B28" s="7" t="s">
        <v>59</v>
      </c>
      <c r="C28" s="21">
        <f>[1]VIABILIDADE!F105</f>
        <v>15460.448717948717</v>
      </c>
      <c r="D28" s="21">
        <f t="shared" si="0"/>
        <v>154.60448717948717</v>
      </c>
      <c r="E28" s="14"/>
      <c r="F28" s="14"/>
      <c r="G28" s="14"/>
    </row>
    <row r="29" spans="1:7" ht="14.25" customHeight="1" x14ac:dyDescent="0.3">
      <c r="A29" s="6" t="s">
        <v>85</v>
      </c>
      <c r="B29" s="7" t="s">
        <v>59</v>
      </c>
      <c r="C29" s="21">
        <f>[1]VIABILIDADE!F106</f>
        <v>20966.315615384614</v>
      </c>
      <c r="D29" s="59">
        <f t="shared" si="0"/>
        <v>209.66315615384613</v>
      </c>
      <c r="E29" s="14"/>
      <c r="F29" s="14"/>
      <c r="G29" s="14"/>
    </row>
    <row r="30" spans="1:7" ht="18" customHeight="1" x14ac:dyDescent="0.35">
      <c r="A30" s="23" t="s">
        <v>86</v>
      </c>
      <c r="B30" s="58"/>
      <c r="C30" s="60" t="s">
        <v>308</v>
      </c>
      <c r="D30" s="60" t="s">
        <v>87</v>
      </c>
      <c r="E30" s="54" t="s">
        <v>310</v>
      </c>
      <c r="F30" s="14"/>
      <c r="G30" s="62" t="s">
        <v>311</v>
      </c>
    </row>
    <row r="31" spans="1:7" ht="16.5" customHeight="1" x14ac:dyDescent="0.3">
      <c r="A31" s="6" t="s">
        <v>88</v>
      </c>
      <c r="B31" s="11" t="s">
        <v>59</v>
      </c>
      <c r="C31" s="69">
        <f>E31/0.8</f>
        <v>2.6624999999999996</v>
      </c>
      <c r="D31" s="70">
        <f>F31/0.8</f>
        <v>2.9874999999999998</v>
      </c>
      <c r="E31" s="45">
        <v>2.13</v>
      </c>
      <c r="F31" s="48">
        <v>2.39</v>
      </c>
      <c r="G31" s="63"/>
    </row>
    <row r="32" spans="1:7" ht="16.5" customHeight="1" x14ac:dyDescent="0.3">
      <c r="A32" s="6" t="s">
        <v>89</v>
      </c>
      <c r="B32" s="11" t="s">
        <v>59</v>
      </c>
      <c r="C32" s="71">
        <f t="shared" ref="C32:C45" si="1">E32/0.8</f>
        <v>4.0124999999999993</v>
      </c>
      <c r="D32" s="70">
        <f t="shared" ref="D32:D46" si="2">F32/0.8</f>
        <v>4.4249999999999998</v>
      </c>
      <c r="E32" s="45">
        <v>3.21</v>
      </c>
      <c r="F32" s="48">
        <v>3.54</v>
      </c>
      <c r="G32" s="63"/>
    </row>
    <row r="33" spans="1:7" ht="16.5" customHeight="1" x14ac:dyDescent="0.3">
      <c r="A33" s="6" t="s">
        <v>90</v>
      </c>
      <c r="B33" s="11" t="s">
        <v>59</v>
      </c>
      <c r="C33" s="71">
        <f t="shared" si="1"/>
        <v>5.7374999999999998</v>
      </c>
      <c r="D33" s="70">
        <f t="shared" si="2"/>
        <v>6.3999999999999995</v>
      </c>
      <c r="E33" s="45">
        <v>4.59</v>
      </c>
      <c r="F33" s="48">
        <v>5.12</v>
      </c>
      <c r="G33" s="63"/>
    </row>
    <row r="34" spans="1:7" ht="16.5" customHeight="1" x14ac:dyDescent="0.3">
      <c r="A34" s="6" t="s">
        <v>91</v>
      </c>
      <c r="B34" s="11" t="s">
        <v>59</v>
      </c>
      <c r="C34" s="71">
        <f t="shared" si="1"/>
        <v>7.7374999999999998</v>
      </c>
      <c r="D34" s="70">
        <f t="shared" si="2"/>
        <v>7.7249999999999996</v>
      </c>
      <c r="E34" s="45">
        <v>6.19</v>
      </c>
      <c r="F34" s="48">
        <v>6.18</v>
      </c>
      <c r="G34" s="63"/>
    </row>
    <row r="35" spans="1:7" ht="16.5" customHeight="1" x14ac:dyDescent="0.3">
      <c r="A35" s="6" t="s">
        <v>92</v>
      </c>
      <c r="B35" s="11" t="s">
        <v>59</v>
      </c>
      <c r="C35" s="71">
        <f t="shared" si="1"/>
        <v>4.1624999999999996</v>
      </c>
      <c r="D35" s="70">
        <f t="shared" si="2"/>
        <v>4.4874999999999998</v>
      </c>
      <c r="E35" s="45">
        <v>3.33</v>
      </c>
      <c r="F35" s="48">
        <v>3.59</v>
      </c>
      <c r="G35" s="63"/>
    </row>
    <row r="36" spans="1:7" ht="14.25" customHeight="1" x14ac:dyDescent="0.3">
      <c r="A36" s="6" t="s">
        <v>93</v>
      </c>
      <c r="B36" s="11" t="s">
        <v>59</v>
      </c>
      <c r="C36" s="71">
        <f t="shared" si="1"/>
        <v>6.2374999999999998</v>
      </c>
      <c r="D36" s="70">
        <f t="shared" si="2"/>
        <v>6.65</v>
      </c>
      <c r="E36" s="45">
        <v>4.99</v>
      </c>
      <c r="F36" s="48">
        <v>5.32</v>
      </c>
      <c r="G36" s="63"/>
    </row>
    <row r="37" spans="1:7" ht="12.75" customHeight="1" x14ac:dyDescent="0.3">
      <c r="A37" s="6" t="s">
        <v>94</v>
      </c>
      <c r="B37" s="11" t="s">
        <v>59</v>
      </c>
      <c r="C37" s="71">
        <f t="shared" si="1"/>
        <v>8.9499999999999993</v>
      </c>
      <c r="D37" s="70">
        <f t="shared" si="2"/>
        <v>9.6125000000000007</v>
      </c>
      <c r="E37" s="45">
        <v>7.16</v>
      </c>
      <c r="F37" s="48">
        <v>7.69</v>
      </c>
      <c r="G37" s="63"/>
    </row>
    <row r="38" spans="1:7" ht="12.75" customHeight="1" x14ac:dyDescent="0.3">
      <c r="A38" s="6" t="s">
        <v>95</v>
      </c>
      <c r="B38" s="11" t="s">
        <v>59</v>
      </c>
      <c r="C38" s="71">
        <f t="shared" si="1"/>
        <v>12.0625</v>
      </c>
      <c r="D38" s="70">
        <f t="shared" si="2"/>
        <v>12.9125</v>
      </c>
      <c r="E38" s="45">
        <v>9.65</v>
      </c>
      <c r="F38" s="48">
        <v>10.33</v>
      </c>
      <c r="G38" s="63"/>
    </row>
    <row r="39" spans="1:7" ht="12.75" customHeight="1" x14ac:dyDescent="0.3">
      <c r="A39" s="6" t="s">
        <v>96</v>
      </c>
      <c r="B39" s="11" t="s">
        <v>59</v>
      </c>
      <c r="C39" s="71">
        <f t="shared" si="1"/>
        <v>8.4749999999999996</v>
      </c>
      <c r="D39" s="70">
        <f t="shared" si="2"/>
        <v>8.8874999999999993</v>
      </c>
      <c r="E39" s="45">
        <v>6.78</v>
      </c>
      <c r="F39" s="48">
        <v>7.11</v>
      </c>
      <c r="G39" s="63"/>
    </row>
    <row r="40" spans="1:7" ht="12.75" customHeight="1" x14ac:dyDescent="0.3">
      <c r="A40" s="6" t="s">
        <v>97</v>
      </c>
      <c r="B40" s="11" t="s">
        <v>59</v>
      </c>
      <c r="C40" s="71">
        <f t="shared" si="1"/>
        <v>12.2</v>
      </c>
      <c r="D40" s="70">
        <f t="shared" si="2"/>
        <v>12.849999999999998</v>
      </c>
      <c r="E40" s="45">
        <v>9.76</v>
      </c>
      <c r="F40" s="48">
        <v>10.28</v>
      </c>
      <c r="G40" s="63"/>
    </row>
    <row r="41" spans="1:7" ht="12.75" customHeight="1" x14ac:dyDescent="0.3">
      <c r="A41" s="6" t="s">
        <v>98</v>
      </c>
      <c r="B41" s="11" t="s">
        <v>59</v>
      </c>
      <c r="C41" s="71">
        <f t="shared" si="1"/>
        <v>16.412500000000001</v>
      </c>
      <c r="D41" s="70">
        <f t="shared" si="2"/>
        <v>17.262499999999999</v>
      </c>
      <c r="E41" s="45">
        <v>13.13</v>
      </c>
      <c r="F41" s="48">
        <v>13.81</v>
      </c>
      <c r="G41" s="63"/>
    </row>
    <row r="42" spans="1:7" ht="12.75" customHeight="1" x14ac:dyDescent="0.3">
      <c r="A42" s="6" t="s">
        <v>99</v>
      </c>
      <c r="B42" s="11" t="s">
        <v>59</v>
      </c>
      <c r="C42" s="71">
        <f t="shared" si="1"/>
        <v>23.4</v>
      </c>
      <c r="D42" s="70">
        <f t="shared" si="2"/>
        <v>24.387499999999999</v>
      </c>
      <c r="E42" s="45">
        <v>18.72</v>
      </c>
      <c r="F42" s="48">
        <v>19.510000000000002</v>
      </c>
      <c r="G42" s="63"/>
    </row>
    <row r="43" spans="1:7" ht="12.75" customHeight="1" x14ac:dyDescent="0.3">
      <c r="A43" s="6" t="s">
        <v>100</v>
      </c>
      <c r="B43" s="11" t="s">
        <v>59</v>
      </c>
      <c r="C43" s="71">
        <f t="shared" si="1"/>
        <v>31.924999999999997</v>
      </c>
      <c r="D43" s="70">
        <f t="shared" si="2"/>
        <v>33.125</v>
      </c>
      <c r="E43" s="45">
        <v>25.54</v>
      </c>
      <c r="F43" s="48">
        <v>26.5</v>
      </c>
      <c r="G43" s="63"/>
    </row>
    <row r="44" spans="1:7" ht="12.75" customHeight="1" x14ac:dyDescent="0.3">
      <c r="A44" s="6" t="s">
        <v>101</v>
      </c>
      <c r="B44" s="11" t="s">
        <v>59</v>
      </c>
      <c r="C44" s="71">
        <f t="shared" si="1"/>
        <v>50.7</v>
      </c>
      <c r="D44" s="70">
        <f t="shared" si="2"/>
        <v>51.974999999999994</v>
      </c>
      <c r="E44" s="45">
        <v>40.56</v>
      </c>
      <c r="F44" s="48">
        <v>41.58</v>
      </c>
      <c r="G44" s="63"/>
    </row>
    <row r="45" spans="1:7" ht="12.75" customHeight="1" x14ac:dyDescent="0.3">
      <c r="A45" s="6" t="s">
        <v>102</v>
      </c>
      <c r="B45" s="11" t="s">
        <v>59</v>
      </c>
      <c r="C45" s="71">
        <f t="shared" si="1"/>
        <v>54.887499999999996</v>
      </c>
      <c r="D45" s="70">
        <f t="shared" si="2"/>
        <v>56.074999999999996</v>
      </c>
      <c r="E45" s="45">
        <v>43.91</v>
      </c>
      <c r="F45" s="48">
        <v>44.86</v>
      </c>
      <c r="G45" s="63"/>
    </row>
    <row r="46" spans="1:7" ht="12.75" customHeight="1" x14ac:dyDescent="0.3">
      <c r="A46" s="53" t="s">
        <v>309</v>
      </c>
      <c r="B46" s="61" t="s">
        <v>59</v>
      </c>
      <c r="C46" s="71">
        <f>E46/0.8</f>
        <v>65.737499999999997</v>
      </c>
      <c r="D46" s="70">
        <f t="shared" si="2"/>
        <v>66.937499999999986</v>
      </c>
      <c r="E46" s="45">
        <v>52.59</v>
      </c>
      <c r="F46" s="48">
        <v>53.55</v>
      </c>
      <c r="G46" s="63"/>
    </row>
    <row r="47" spans="1:7" ht="12.75" customHeight="1" x14ac:dyDescent="0.3">
      <c r="A47" s="53" t="s">
        <v>306</v>
      </c>
      <c r="B47" s="11" t="s">
        <v>59</v>
      </c>
      <c r="C47" s="71">
        <f t="shared" ref="C47:C55" si="3">F47/0.8</f>
        <v>1.5125</v>
      </c>
      <c r="D47" s="72"/>
      <c r="E47" s="54" t="s">
        <v>307</v>
      </c>
      <c r="F47" s="48">
        <v>1.21</v>
      </c>
      <c r="G47" s="64"/>
    </row>
    <row r="48" spans="1:7" ht="12.75" customHeight="1" x14ac:dyDescent="0.3">
      <c r="A48" s="6" t="s">
        <v>103</v>
      </c>
      <c r="B48" s="11" t="s">
        <v>59</v>
      </c>
      <c r="C48" s="71">
        <f t="shared" si="3"/>
        <v>2.2374999999999998</v>
      </c>
      <c r="D48" s="72"/>
      <c r="E48" s="45"/>
      <c r="F48" s="48">
        <v>1.79</v>
      </c>
      <c r="G48" s="63"/>
    </row>
    <row r="49" spans="1:7" ht="12.75" customHeight="1" x14ac:dyDescent="0.3">
      <c r="A49" s="6" t="s">
        <v>104</v>
      </c>
      <c r="B49" s="11" t="s">
        <v>59</v>
      </c>
      <c r="C49" s="71">
        <f t="shared" si="3"/>
        <v>3.2374999999999998</v>
      </c>
      <c r="D49" s="72"/>
      <c r="E49" s="45"/>
      <c r="F49" s="48">
        <v>2.59</v>
      </c>
      <c r="G49" s="63"/>
    </row>
    <row r="50" spans="1:7" ht="12.75" customHeight="1" x14ac:dyDescent="0.3">
      <c r="A50" s="6" t="s">
        <v>106</v>
      </c>
      <c r="B50" s="11" t="s">
        <v>59</v>
      </c>
      <c r="C50" s="71">
        <f t="shared" si="3"/>
        <v>4.3499999999999996</v>
      </c>
      <c r="D50" s="72"/>
      <c r="E50" s="45"/>
      <c r="F50" s="48">
        <v>3.48</v>
      </c>
      <c r="G50" s="63"/>
    </row>
    <row r="51" spans="1:7" ht="12.75" customHeight="1" x14ac:dyDescent="0.3">
      <c r="A51" s="6" t="s">
        <v>107</v>
      </c>
      <c r="B51" s="11" t="s">
        <v>59</v>
      </c>
      <c r="C51" s="71">
        <f t="shared" si="3"/>
        <v>6.1375000000000002</v>
      </c>
      <c r="D51" s="72"/>
      <c r="E51" s="45"/>
      <c r="F51" s="48">
        <v>4.91</v>
      </c>
      <c r="G51" s="63"/>
    </row>
    <row r="52" spans="1:7" ht="12.75" customHeight="1" x14ac:dyDescent="0.3">
      <c r="A52" s="6" t="s">
        <v>108</v>
      </c>
      <c r="B52" s="11" t="s">
        <v>59</v>
      </c>
      <c r="C52" s="71">
        <f t="shared" si="3"/>
        <v>8.3249999999999993</v>
      </c>
      <c r="D52" s="72"/>
      <c r="E52" s="45"/>
      <c r="F52" s="48">
        <v>6.66</v>
      </c>
      <c r="G52" s="63"/>
    </row>
    <row r="53" spans="1:7" ht="12.75" customHeight="1" x14ac:dyDescent="0.3">
      <c r="A53" s="6" t="s">
        <v>109</v>
      </c>
      <c r="B53" s="11" t="s">
        <v>59</v>
      </c>
      <c r="C53" s="71">
        <f t="shared" si="3"/>
        <v>13.049999999999999</v>
      </c>
      <c r="D53" s="72"/>
      <c r="E53" s="45"/>
      <c r="F53" s="48">
        <v>10.44</v>
      </c>
      <c r="G53" s="63"/>
    </row>
    <row r="54" spans="1:7" ht="12.75" customHeight="1" x14ac:dyDescent="0.3">
      <c r="A54" s="6" t="s">
        <v>110</v>
      </c>
      <c r="B54" s="11" t="s">
        <v>59</v>
      </c>
      <c r="C54" s="71">
        <f t="shared" si="3"/>
        <v>16.024999999999999</v>
      </c>
      <c r="D54" s="72"/>
      <c r="E54" s="45"/>
      <c r="F54" s="48">
        <v>12.82</v>
      </c>
      <c r="G54" s="63"/>
    </row>
    <row r="55" spans="1:7" ht="12.75" customHeight="1" x14ac:dyDescent="0.3">
      <c r="A55" s="6" t="s">
        <v>111</v>
      </c>
      <c r="B55" s="11" t="s">
        <v>59</v>
      </c>
      <c r="C55" s="71">
        <f t="shared" si="3"/>
        <v>19.649999999999999</v>
      </c>
      <c r="D55" s="72"/>
      <c r="E55" s="45"/>
      <c r="F55" s="48">
        <v>15.72</v>
      </c>
      <c r="G55" s="63"/>
    </row>
    <row r="56" spans="1:7" ht="12.75" customHeight="1" x14ac:dyDescent="0.3">
      <c r="A56" s="6" t="s">
        <v>112</v>
      </c>
      <c r="B56" s="56" t="s">
        <v>59</v>
      </c>
      <c r="C56" s="121">
        <f>G56/0.78</f>
        <v>18.846153846153843</v>
      </c>
      <c r="D56" s="122"/>
      <c r="E56" s="14"/>
      <c r="F56" s="55"/>
      <c r="G56" s="63">
        <v>14.7</v>
      </c>
    </row>
    <row r="57" spans="1:7" ht="12.75" customHeight="1" x14ac:dyDescent="0.3">
      <c r="A57" s="6" t="s">
        <v>113</v>
      </c>
      <c r="B57" s="57" t="s">
        <v>59</v>
      </c>
      <c r="C57" s="121">
        <f>G57/0.78</f>
        <v>23.064102564102562</v>
      </c>
      <c r="D57" s="122"/>
      <c r="E57" s="14"/>
      <c r="F57" s="55"/>
      <c r="G57" s="63">
        <v>17.989999999999998</v>
      </c>
    </row>
    <row r="58" spans="1:7" ht="14.25" customHeight="1" x14ac:dyDescent="0.3">
      <c r="A58" s="6"/>
      <c r="B58" s="25"/>
      <c r="C58" s="26"/>
      <c r="D58" s="14"/>
      <c r="E58" s="14"/>
      <c r="F58" s="14"/>
      <c r="G58" s="14"/>
    </row>
    <row r="59" spans="1:7" ht="14.25" customHeight="1" thickBot="1" x14ac:dyDescent="0.35">
      <c r="A59" s="13"/>
      <c r="B59" s="86" t="s">
        <v>53</v>
      </c>
      <c r="C59" s="87"/>
      <c r="D59" s="88"/>
      <c r="E59" s="14"/>
      <c r="F59" s="14"/>
      <c r="G59" s="14"/>
    </row>
    <row r="60" spans="1:7" ht="14.25" customHeight="1" x14ac:dyDescent="0.3">
      <c r="A60" s="14"/>
      <c r="B60" s="27">
        <v>67</v>
      </c>
      <c r="C60" s="123">
        <v>8.9</v>
      </c>
      <c r="D60" s="124"/>
      <c r="E60" s="14"/>
      <c r="F60" s="14"/>
      <c r="G60" s="14"/>
    </row>
    <row r="61" spans="1:7" ht="58.5" customHeight="1" thickBot="1" x14ac:dyDescent="0.35">
      <c r="A61" s="118" t="s">
        <v>312</v>
      </c>
      <c r="B61" s="119"/>
      <c r="C61" s="119"/>
      <c r="D61" s="120"/>
      <c r="E61" s="14"/>
      <c r="F61" s="14"/>
      <c r="G61" s="14"/>
    </row>
    <row r="62" spans="1:7" ht="14.25" customHeight="1" x14ac:dyDescent="0.3"/>
    <row r="63" spans="1:7" ht="14.25" customHeight="1" x14ac:dyDescent="0.3"/>
    <row r="64" spans="1:7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</sheetData>
  <mergeCells count="15">
    <mergeCell ref="A61:D61"/>
    <mergeCell ref="C56:D56"/>
    <mergeCell ref="C60:D60"/>
    <mergeCell ref="C57:D57"/>
    <mergeCell ref="B59:D59"/>
    <mergeCell ref="A6:D6"/>
    <mergeCell ref="C7:D7"/>
    <mergeCell ref="C8:D8"/>
    <mergeCell ref="A9:C9"/>
    <mergeCell ref="A17:C17"/>
    <mergeCell ref="A1:D1"/>
    <mergeCell ref="C2:D2"/>
    <mergeCell ref="C3:D3"/>
    <mergeCell ref="A4:D4"/>
    <mergeCell ref="C5:D5"/>
  </mergeCells>
  <pageMargins left="0.511811024" right="0.511811024" top="0.78740157499999996" bottom="0.78740157499999996" header="0" footer="0"/>
  <pageSetup paperSize="9"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000"/>
  <sheetViews>
    <sheetView workbookViewId="0">
      <selection sqref="A1:C1"/>
    </sheetView>
  </sheetViews>
  <sheetFormatPr defaultColWidth="14.44140625" defaultRowHeight="15" customHeight="1" x14ac:dyDescent="0.3"/>
  <cols>
    <col min="1" max="1" width="66.33203125" customWidth="1"/>
    <col min="2" max="2" width="5.44140625" customWidth="1"/>
    <col min="3" max="3" width="11.33203125" customWidth="1"/>
    <col min="4" max="8" width="8.6640625" customWidth="1"/>
    <col min="9" max="9" width="13.44140625" customWidth="1"/>
    <col min="10" max="10" width="25.33203125" customWidth="1"/>
    <col min="11" max="26" width="8.6640625" customWidth="1"/>
  </cols>
  <sheetData>
    <row r="1" spans="1:10" ht="14.25" customHeight="1" x14ac:dyDescent="0.3">
      <c r="A1" s="125" t="s">
        <v>142</v>
      </c>
      <c r="B1" s="94"/>
      <c r="C1" s="74"/>
    </row>
    <row r="2" spans="1:10" ht="14.25" customHeight="1" x14ac:dyDescent="0.3">
      <c r="A2" s="126"/>
      <c r="B2" s="94"/>
      <c r="C2" s="74"/>
    </row>
    <row r="3" spans="1:10" ht="14.25" customHeight="1" x14ac:dyDescent="0.3">
      <c r="A3" s="32" t="s">
        <v>55</v>
      </c>
      <c r="B3" s="32" t="s">
        <v>2</v>
      </c>
      <c r="C3" s="32" t="s">
        <v>3</v>
      </c>
    </row>
    <row r="4" spans="1:10" ht="14.25" customHeight="1" x14ac:dyDescent="0.3">
      <c r="A4" s="127" t="s">
        <v>72</v>
      </c>
      <c r="B4" s="94"/>
      <c r="C4" s="74"/>
      <c r="H4" s="33" t="s">
        <v>143</v>
      </c>
      <c r="I4" s="33" t="s">
        <v>144</v>
      </c>
      <c r="J4" s="33" t="s">
        <v>145</v>
      </c>
    </row>
    <row r="5" spans="1:10" ht="14.25" customHeight="1" x14ac:dyDescent="0.3">
      <c r="A5" s="33" t="s">
        <v>78</v>
      </c>
      <c r="B5" s="32" t="s">
        <v>59</v>
      </c>
      <c r="C5" s="34">
        <f t="shared" ref="C5:C11" si="0">J5</f>
        <v>29.756999999999998</v>
      </c>
      <c r="H5" s="33" t="s">
        <v>146</v>
      </c>
      <c r="I5" s="35">
        <v>23.805599999999998</v>
      </c>
      <c r="J5" s="34">
        <f t="shared" ref="J5:J10" si="1">I5/0.8</f>
        <v>29.756999999999998</v>
      </c>
    </row>
    <row r="6" spans="1:10" ht="14.25" customHeight="1" x14ac:dyDescent="0.3">
      <c r="A6" s="33" t="s">
        <v>79</v>
      </c>
      <c r="B6" s="32" t="s">
        <v>59</v>
      </c>
      <c r="C6" s="34">
        <f t="shared" si="0"/>
        <v>41.606749999999998</v>
      </c>
      <c r="H6" s="33" t="s">
        <v>147</v>
      </c>
      <c r="I6" s="35">
        <v>33.285400000000003</v>
      </c>
      <c r="J6" s="34">
        <f t="shared" si="1"/>
        <v>41.606749999999998</v>
      </c>
    </row>
    <row r="7" spans="1:10" ht="14.25" customHeight="1" x14ac:dyDescent="0.3">
      <c r="A7" s="33" t="s">
        <v>80</v>
      </c>
      <c r="B7" s="32" t="s">
        <v>59</v>
      </c>
      <c r="C7" s="34">
        <f t="shared" si="0"/>
        <v>56.038624999999996</v>
      </c>
      <c r="H7" s="33" t="s">
        <v>148</v>
      </c>
      <c r="I7" s="35">
        <v>44.8309</v>
      </c>
      <c r="J7" s="34">
        <f t="shared" si="1"/>
        <v>56.038624999999996</v>
      </c>
    </row>
    <row r="8" spans="1:10" ht="14.25" customHeight="1" x14ac:dyDescent="0.3">
      <c r="A8" s="33" t="s">
        <v>81</v>
      </c>
      <c r="B8" s="32" t="s">
        <v>59</v>
      </c>
      <c r="C8" s="34">
        <f t="shared" si="0"/>
        <v>70.034999999999997</v>
      </c>
      <c r="H8" s="33" t="s">
        <v>149</v>
      </c>
      <c r="I8" s="35">
        <v>56.027999999999999</v>
      </c>
      <c r="J8" s="34">
        <f t="shared" si="1"/>
        <v>70.034999999999997</v>
      </c>
    </row>
    <row r="9" spans="1:10" ht="14.25" customHeight="1" x14ac:dyDescent="0.3">
      <c r="A9" s="33" t="s">
        <v>150</v>
      </c>
      <c r="B9" s="32" t="s">
        <v>59</v>
      </c>
      <c r="C9" s="34">
        <f t="shared" si="0"/>
        <v>87.0565</v>
      </c>
      <c r="H9" s="33" t="s">
        <v>151</v>
      </c>
      <c r="I9" s="35">
        <v>69.645200000000003</v>
      </c>
      <c r="J9" s="34">
        <f t="shared" si="1"/>
        <v>87.0565</v>
      </c>
    </row>
    <row r="10" spans="1:10" ht="14.25" customHeight="1" x14ac:dyDescent="0.3">
      <c r="A10" s="33" t="s">
        <v>152</v>
      </c>
      <c r="B10" s="32" t="s">
        <v>59</v>
      </c>
      <c r="C10" s="34">
        <f t="shared" si="0"/>
        <v>113.39425</v>
      </c>
      <c r="H10" s="33" t="s">
        <v>153</v>
      </c>
      <c r="I10" s="35">
        <v>90.715400000000002</v>
      </c>
      <c r="J10" s="34">
        <f t="shared" si="1"/>
        <v>113.39425</v>
      </c>
    </row>
    <row r="11" spans="1:10" ht="14.25" hidden="1" customHeight="1" x14ac:dyDescent="0.3">
      <c r="A11" s="33" t="s">
        <v>154</v>
      </c>
      <c r="B11" s="32" t="s">
        <v>59</v>
      </c>
      <c r="C11" s="34">
        <f t="shared" si="0"/>
        <v>0</v>
      </c>
      <c r="H11" s="33" t="s">
        <v>155</v>
      </c>
      <c r="I11" s="35">
        <v>0</v>
      </c>
      <c r="J11" s="34">
        <f>I11/0.75</f>
        <v>0</v>
      </c>
    </row>
    <row r="12" spans="1:10" ht="14.25" customHeight="1" x14ac:dyDescent="0.3">
      <c r="B12" s="36"/>
      <c r="C12" s="37"/>
    </row>
    <row r="13" spans="1:10" ht="14.25" customHeight="1" x14ac:dyDescent="0.3">
      <c r="A13" s="38" t="s">
        <v>156</v>
      </c>
      <c r="B13" s="128" t="s">
        <v>157</v>
      </c>
      <c r="C13" s="74"/>
    </row>
    <row r="14" spans="1:10" ht="14.25" customHeight="1" x14ac:dyDescent="0.3"/>
    <row r="15" spans="1:10" ht="51.75" customHeight="1" x14ac:dyDescent="0.3">
      <c r="A15" s="129" t="s">
        <v>158</v>
      </c>
      <c r="B15" s="94"/>
      <c r="C15" s="74"/>
    </row>
    <row r="16" spans="1:10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5">
    <mergeCell ref="A1:C1"/>
    <mergeCell ref="A2:C2"/>
    <mergeCell ref="A4:C4"/>
    <mergeCell ref="B13:C13"/>
    <mergeCell ref="A15:C15"/>
  </mergeCells>
  <pageMargins left="0.511811024" right="0.511811024" top="0.78740157499999996" bottom="0.78740157499999996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G1000"/>
  <sheetViews>
    <sheetView workbookViewId="0">
      <selection activeCell="C5" sqref="C5:D5"/>
    </sheetView>
  </sheetViews>
  <sheetFormatPr defaultColWidth="14.44140625" defaultRowHeight="15" customHeight="1" x14ac:dyDescent="0.3"/>
  <cols>
    <col min="1" max="1" width="57.6640625" customWidth="1"/>
    <col min="2" max="2" width="5.44140625" customWidth="1"/>
    <col min="3" max="3" width="14.33203125" customWidth="1"/>
    <col min="4" max="4" width="12" customWidth="1"/>
    <col min="5" max="6" width="8.6640625" customWidth="1"/>
    <col min="7" max="7" width="12.33203125" customWidth="1"/>
    <col min="8" max="26" width="8.6640625" customWidth="1"/>
  </cols>
  <sheetData>
    <row r="1" spans="1:7" ht="14.25" customHeight="1" x14ac:dyDescent="0.4">
      <c r="A1" s="103" t="s">
        <v>0</v>
      </c>
      <c r="B1" s="87"/>
      <c r="C1" s="87"/>
      <c r="D1" s="88"/>
      <c r="E1" s="14"/>
      <c r="F1" s="14"/>
      <c r="G1" s="14"/>
    </row>
    <row r="2" spans="1:7" ht="70.5" customHeight="1" x14ac:dyDescent="0.3">
      <c r="A2" s="1"/>
      <c r="B2" s="14"/>
      <c r="C2" s="104"/>
      <c r="D2" s="105"/>
      <c r="E2" s="14"/>
      <c r="F2" s="14"/>
      <c r="G2" s="14"/>
    </row>
    <row r="3" spans="1:7" ht="14.25" customHeight="1" x14ac:dyDescent="0.3">
      <c r="A3" s="16" t="s">
        <v>55</v>
      </c>
      <c r="B3" s="17" t="s">
        <v>2</v>
      </c>
      <c r="C3" s="130" t="s">
        <v>56</v>
      </c>
      <c r="D3" s="90"/>
      <c r="E3" s="14"/>
      <c r="F3" s="14"/>
      <c r="G3" s="14"/>
    </row>
    <row r="4" spans="1:7" ht="14.25" customHeight="1" x14ac:dyDescent="0.35">
      <c r="A4" s="131" t="s">
        <v>57</v>
      </c>
      <c r="B4" s="80"/>
      <c r="C4" s="80"/>
      <c r="D4" s="112"/>
      <c r="E4" s="14"/>
      <c r="F4" s="14"/>
      <c r="G4" s="14"/>
    </row>
    <row r="5" spans="1:7" ht="14.25" customHeight="1" x14ac:dyDescent="0.35">
      <c r="A5" s="6" t="s">
        <v>58</v>
      </c>
      <c r="B5" s="18" t="s">
        <v>59</v>
      </c>
      <c r="C5" s="75" t="s">
        <v>159</v>
      </c>
      <c r="D5" s="90"/>
      <c r="E5" s="14"/>
      <c r="F5" s="14"/>
      <c r="G5" s="14"/>
    </row>
    <row r="6" spans="1:7" ht="14.25" customHeight="1" x14ac:dyDescent="0.3">
      <c r="A6" s="132" t="s">
        <v>60</v>
      </c>
      <c r="B6" s="80"/>
      <c r="C6" s="80"/>
      <c r="D6" s="81"/>
      <c r="E6" s="14"/>
      <c r="F6" s="14"/>
      <c r="G6" s="14"/>
    </row>
    <row r="7" spans="1:7" ht="14.25" customHeight="1" x14ac:dyDescent="0.35">
      <c r="A7" s="19" t="s">
        <v>61</v>
      </c>
      <c r="B7" s="20" t="s">
        <v>59</v>
      </c>
      <c r="C7" s="133" t="s">
        <v>160</v>
      </c>
      <c r="D7" s="88"/>
      <c r="E7" s="14"/>
      <c r="F7" s="14"/>
      <c r="G7" s="14"/>
    </row>
    <row r="8" spans="1:7" ht="14.25" customHeight="1" x14ac:dyDescent="0.35">
      <c r="A8" s="6" t="s">
        <v>62</v>
      </c>
      <c r="B8" s="18" t="s">
        <v>59</v>
      </c>
      <c r="C8" s="133" t="s">
        <v>161</v>
      </c>
      <c r="D8" s="88"/>
      <c r="E8" s="14"/>
      <c r="F8" s="14"/>
      <c r="G8" s="14"/>
    </row>
    <row r="9" spans="1:7" ht="14.25" customHeight="1" x14ac:dyDescent="0.35">
      <c r="A9" s="117" t="s">
        <v>63</v>
      </c>
      <c r="B9" s="94"/>
      <c r="C9" s="74"/>
      <c r="D9" s="10" t="s">
        <v>64</v>
      </c>
      <c r="E9" s="14"/>
      <c r="F9" s="14"/>
      <c r="G9" s="14"/>
    </row>
    <row r="10" spans="1:7" ht="14.25" customHeight="1" x14ac:dyDescent="0.3">
      <c r="A10" s="6" t="s">
        <v>65</v>
      </c>
      <c r="B10" s="7" t="s">
        <v>59</v>
      </c>
      <c r="C10" s="21" t="s">
        <v>162</v>
      </c>
      <c r="D10" s="21" t="s">
        <v>163</v>
      </c>
      <c r="E10" s="14"/>
      <c r="F10" s="14"/>
      <c r="G10" s="22"/>
    </row>
    <row r="11" spans="1:7" ht="14.25" customHeight="1" x14ac:dyDescent="0.3">
      <c r="A11" s="6" t="s">
        <v>66</v>
      </c>
      <c r="B11" s="7" t="s">
        <v>59</v>
      </c>
      <c r="C11" s="21" t="s">
        <v>164</v>
      </c>
      <c r="D11" s="21" t="s">
        <v>165</v>
      </c>
      <c r="E11" s="14"/>
      <c r="F11" s="14"/>
      <c r="G11" s="22"/>
    </row>
    <row r="12" spans="1:7" ht="14.25" customHeight="1" x14ac:dyDescent="0.3">
      <c r="A12" s="6" t="s">
        <v>67</v>
      </c>
      <c r="B12" s="7" t="s">
        <v>59</v>
      </c>
      <c r="C12" s="21" t="s">
        <v>166</v>
      </c>
      <c r="D12" s="21" t="s">
        <v>167</v>
      </c>
      <c r="E12" s="14"/>
      <c r="F12" s="14"/>
      <c r="G12" s="22"/>
    </row>
    <row r="13" spans="1:7" ht="14.25" customHeight="1" x14ac:dyDescent="0.3">
      <c r="A13" s="6" t="s">
        <v>68</v>
      </c>
      <c r="B13" s="7" t="s">
        <v>59</v>
      </c>
      <c r="C13" s="21" t="s">
        <v>168</v>
      </c>
      <c r="D13" s="21" t="s">
        <v>169</v>
      </c>
      <c r="E13" s="14"/>
      <c r="F13" s="14"/>
      <c r="G13" s="22"/>
    </row>
    <row r="14" spans="1:7" ht="14.25" customHeight="1" x14ac:dyDescent="0.3">
      <c r="A14" s="6" t="s">
        <v>69</v>
      </c>
      <c r="B14" s="7" t="s">
        <v>59</v>
      </c>
      <c r="C14" s="21" t="s">
        <v>170</v>
      </c>
      <c r="D14" s="21" t="s">
        <v>171</v>
      </c>
      <c r="E14" s="14"/>
      <c r="F14" s="14"/>
      <c r="G14" s="22"/>
    </row>
    <row r="15" spans="1:7" ht="14.25" customHeight="1" x14ac:dyDescent="0.3">
      <c r="A15" s="6" t="s">
        <v>70</v>
      </c>
      <c r="B15" s="7" t="s">
        <v>59</v>
      </c>
      <c r="C15" s="21" t="s">
        <v>172</v>
      </c>
      <c r="D15" s="21" t="s">
        <v>173</v>
      </c>
      <c r="E15" s="14"/>
      <c r="F15" s="14"/>
      <c r="G15" s="14"/>
    </row>
    <row r="16" spans="1:7" ht="14.25" customHeight="1" x14ac:dyDescent="0.3">
      <c r="A16" s="6" t="s">
        <v>71</v>
      </c>
      <c r="B16" s="7" t="s">
        <v>59</v>
      </c>
      <c r="C16" s="21" t="s">
        <v>172</v>
      </c>
      <c r="D16" s="21" t="s">
        <v>174</v>
      </c>
      <c r="E16" s="14"/>
      <c r="F16" s="14"/>
      <c r="G16" s="14"/>
    </row>
    <row r="17" spans="1:7" ht="14.25" customHeight="1" x14ac:dyDescent="0.3">
      <c r="A17" s="6" t="s">
        <v>175</v>
      </c>
      <c r="B17" s="7" t="s">
        <v>59</v>
      </c>
      <c r="C17" s="21" t="s">
        <v>172</v>
      </c>
      <c r="D17" s="21" t="s">
        <v>176</v>
      </c>
      <c r="E17" s="14"/>
      <c r="F17" s="14"/>
      <c r="G17" s="14"/>
    </row>
    <row r="18" spans="1:7" ht="14.25" customHeight="1" x14ac:dyDescent="0.3">
      <c r="A18" s="6" t="s">
        <v>177</v>
      </c>
      <c r="B18" s="7" t="s">
        <v>59</v>
      </c>
      <c r="C18" s="21" t="s">
        <v>172</v>
      </c>
      <c r="D18" s="21" t="s">
        <v>178</v>
      </c>
      <c r="E18" s="14"/>
      <c r="F18" s="14"/>
      <c r="G18" s="14"/>
    </row>
    <row r="19" spans="1:7" ht="14.25" customHeight="1" x14ac:dyDescent="0.35">
      <c r="A19" s="117" t="s">
        <v>72</v>
      </c>
      <c r="B19" s="94"/>
      <c r="C19" s="74"/>
      <c r="D19" s="10" t="s">
        <v>73</v>
      </c>
      <c r="E19" s="14"/>
      <c r="F19" s="14"/>
      <c r="G19" s="14"/>
    </row>
    <row r="20" spans="1:7" ht="14.25" customHeight="1" x14ac:dyDescent="0.3">
      <c r="A20" s="6" t="s">
        <v>74</v>
      </c>
      <c r="B20" s="7" t="s">
        <v>59</v>
      </c>
      <c r="C20" s="39" t="s">
        <v>179</v>
      </c>
      <c r="D20" s="21" t="s">
        <v>180</v>
      </c>
      <c r="E20" s="14"/>
      <c r="F20" s="14"/>
      <c r="G20" s="14"/>
    </row>
    <row r="21" spans="1:7" ht="14.25" customHeight="1" x14ac:dyDescent="0.3">
      <c r="A21" s="6" t="s">
        <v>75</v>
      </c>
      <c r="B21" s="7" t="s">
        <v>59</v>
      </c>
      <c r="C21" s="39" t="s">
        <v>181</v>
      </c>
      <c r="D21" s="21" t="s">
        <v>182</v>
      </c>
      <c r="E21" s="14"/>
      <c r="F21" s="14"/>
      <c r="G21" s="14"/>
    </row>
    <row r="22" spans="1:7" ht="14.25" customHeight="1" x14ac:dyDescent="0.3">
      <c r="A22" s="6" t="s">
        <v>76</v>
      </c>
      <c r="B22" s="7" t="s">
        <v>59</v>
      </c>
      <c r="C22" s="39" t="s">
        <v>183</v>
      </c>
      <c r="D22" s="21" t="s">
        <v>184</v>
      </c>
      <c r="E22" s="14"/>
      <c r="F22" s="14"/>
      <c r="G22" s="14"/>
    </row>
    <row r="23" spans="1:7" ht="14.25" customHeight="1" x14ac:dyDescent="0.3">
      <c r="A23" s="6" t="s">
        <v>77</v>
      </c>
      <c r="B23" s="7" t="s">
        <v>59</v>
      </c>
      <c r="C23" s="39" t="s">
        <v>185</v>
      </c>
      <c r="D23" s="21" t="s">
        <v>186</v>
      </c>
      <c r="E23" s="14"/>
      <c r="F23" s="14"/>
      <c r="G23" s="14"/>
    </row>
    <row r="24" spans="1:7" ht="14.25" customHeight="1" x14ac:dyDescent="0.3">
      <c r="A24" s="6" t="s">
        <v>78</v>
      </c>
      <c r="B24" s="7" t="s">
        <v>59</v>
      </c>
      <c r="C24" s="39" t="s">
        <v>187</v>
      </c>
      <c r="D24" s="21" t="s">
        <v>188</v>
      </c>
      <c r="E24" s="14"/>
      <c r="F24" s="14"/>
      <c r="G24" s="14"/>
    </row>
    <row r="25" spans="1:7" ht="14.25" customHeight="1" x14ac:dyDescent="0.3">
      <c r="A25" s="6" t="s">
        <v>79</v>
      </c>
      <c r="B25" s="7" t="s">
        <v>59</v>
      </c>
      <c r="C25" s="39" t="s">
        <v>189</v>
      </c>
      <c r="D25" s="21" t="s">
        <v>190</v>
      </c>
      <c r="E25" s="14"/>
      <c r="F25" s="14"/>
      <c r="G25" s="14"/>
    </row>
    <row r="26" spans="1:7" ht="14.25" customHeight="1" x14ac:dyDescent="0.3">
      <c r="A26" s="6" t="s">
        <v>80</v>
      </c>
      <c r="B26" s="7" t="s">
        <v>59</v>
      </c>
      <c r="C26" s="39" t="s">
        <v>191</v>
      </c>
      <c r="D26" s="21" t="s">
        <v>192</v>
      </c>
      <c r="E26" s="14"/>
      <c r="F26" s="14"/>
      <c r="G26" s="14"/>
    </row>
    <row r="27" spans="1:7" ht="14.25" customHeight="1" x14ac:dyDescent="0.3">
      <c r="A27" s="6" t="s">
        <v>81</v>
      </c>
      <c r="B27" s="7" t="s">
        <v>59</v>
      </c>
      <c r="C27" s="39" t="s">
        <v>193</v>
      </c>
      <c r="D27" s="21" t="s">
        <v>194</v>
      </c>
      <c r="E27" s="14"/>
      <c r="F27" s="14"/>
      <c r="G27" s="14"/>
    </row>
    <row r="28" spans="1:7" ht="14.25" customHeight="1" x14ac:dyDescent="0.3">
      <c r="A28" s="6" t="s">
        <v>82</v>
      </c>
      <c r="B28" s="7" t="s">
        <v>59</v>
      </c>
      <c r="C28" s="39" t="s">
        <v>195</v>
      </c>
      <c r="D28" s="21" t="s">
        <v>196</v>
      </c>
      <c r="E28" s="14"/>
      <c r="F28" s="14"/>
      <c r="G28" s="14"/>
    </row>
    <row r="29" spans="1:7" ht="14.25" customHeight="1" x14ac:dyDescent="0.3">
      <c r="A29" s="6" t="s">
        <v>83</v>
      </c>
      <c r="B29" s="7" t="s">
        <v>59</v>
      </c>
      <c r="C29" s="39" t="s">
        <v>197</v>
      </c>
      <c r="D29" s="21" t="s">
        <v>198</v>
      </c>
      <c r="E29" s="14"/>
      <c r="F29" s="14"/>
      <c r="G29" s="14"/>
    </row>
    <row r="30" spans="1:7" ht="14.25" customHeight="1" x14ac:dyDescent="0.3">
      <c r="A30" s="6" t="s">
        <v>84</v>
      </c>
      <c r="B30" s="7" t="s">
        <v>59</v>
      </c>
      <c r="C30" s="39" t="s">
        <v>199</v>
      </c>
      <c r="D30" s="21" t="s">
        <v>200</v>
      </c>
      <c r="E30" s="14"/>
      <c r="F30" s="14"/>
      <c r="G30" s="14"/>
    </row>
    <row r="31" spans="1:7" ht="14.25" customHeight="1" x14ac:dyDescent="0.3">
      <c r="A31" s="6" t="s">
        <v>85</v>
      </c>
      <c r="B31" s="7" t="s">
        <v>59</v>
      </c>
      <c r="C31" s="39" t="s">
        <v>201</v>
      </c>
      <c r="D31" s="21" t="s">
        <v>202</v>
      </c>
      <c r="E31" s="14"/>
      <c r="F31" s="14"/>
      <c r="G31" s="14"/>
    </row>
    <row r="32" spans="1:7" ht="18" customHeight="1" x14ac:dyDescent="0.35">
      <c r="A32" s="23" t="s">
        <v>86</v>
      </c>
      <c r="B32" s="24"/>
      <c r="C32" s="134" t="s">
        <v>203</v>
      </c>
      <c r="D32" s="74"/>
      <c r="E32" s="14"/>
      <c r="F32" s="14"/>
      <c r="G32" s="14"/>
    </row>
    <row r="33" spans="1:7" ht="16.5" customHeight="1" x14ac:dyDescent="0.3">
      <c r="A33" s="6" t="s">
        <v>88</v>
      </c>
      <c r="B33" s="7" t="s">
        <v>59</v>
      </c>
      <c r="C33" s="73" t="s">
        <v>105</v>
      </c>
      <c r="D33" s="74"/>
      <c r="E33" s="14"/>
      <c r="F33" s="14"/>
      <c r="G33" s="14"/>
    </row>
    <row r="34" spans="1:7" ht="16.5" customHeight="1" x14ac:dyDescent="0.3">
      <c r="A34" s="6" t="s">
        <v>89</v>
      </c>
      <c r="B34" s="7" t="s">
        <v>59</v>
      </c>
      <c r="C34" s="73" t="s">
        <v>204</v>
      </c>
      <c r="D34" s="74"/>
      <c r="E34" s="14"/>
      <c r="F34" s="14"/>
      <c r="G34" s="14"/>
    </row>
    <row r="35" spans="1:7" ht="16.5" customHeight="1" x14ac:dyDescent="0.3">
      <c r="A35" s="6" t="s">
        <v>90</v>
      </c>
      <c r="B35" s="7" t="s">
        <v>59</v>
      </c>
      <c r="C35" s="73" t="s">
        <v>205</v>
      </c>
      <c r="D35" s="74"/>
      <c r="E35" s="14"/>
      <c r="F35" s="14"/>
      <c r="G35" s="14"/>
    </row>
    <row r="36" spans="1:7" ht="15" customHeight="1" x14ac:dyDescent="0.3">
      <c r="A36" s="6" t="s">
        <v>91</v>
      </c>
      <c r="B36" s="7" t="s">
        <v>59</v>
      </c>
      <c r="C36" s="73" t="s">
        <v>206</v>
      </c>
      <c r="D36" s="74"/>
      <c r="E36" s="14"/>
      <c r="F36" s="14"/>
      <c r="G36" s="14"/>
    </row>
    <row r="37" spans="1:7" ht="12.75" customHeight="1" x14ac:dyDescent="0.3">
      <c r="A37" s="6" t="s">
        <v>92</v>
      </c>
      <c r="B37" s="7" t="s">
        <v>59</v>
      </c>
      <c r="C37" s="73" t="s">
        <v>207</v>
      </c>
      <c r="D37" s="74"/>
      <c r="E37" s="14"/>
      <c r="F37" s="14"/>
      <c r="G37" s="14"/>
    </row>
    <row r="38" spans="1:7" ht="14.25" customHeight="1" x14ac:dyDescent="0.3">
      <c r="A38" s="6" t="s">
        <v>93</v>
      </c>
      <c r="B38" s="7" t="s">
        <v>59</v>
      </c>
      <c r="C38" s="73" t="s">
        <v>208</v>
      </c>
      <c r="D38" s="74"/>
      <c r="E38" s="14"/>
      <c r="F38" s="14"/>
      <c r="G38" s="14"/>
    </row>
    <row r="39" spans="1:7" ht="12.75" customHeight="1" x14ac:dyDescent="0.3">
      <c r="A39" s="6" t="s">
        <v>94</v>
      </c>
      <c r="B39" s="7" t="s">
        <v>59</v>
      </c>
      <c r="C39" s="73" t="s">
        <v>209</v>
      </c>
      <c r="D39" s="74"/>
      <c r="E39" s="14"/>
      <c r="F39" s="14"/>
      <c r="G39" s="14"/>
    </row>
    <row r="40" spans="1:7" ht="12.75" customHeight="1" x14ac:dyDescent="0.3">
      <c r="A40" s="6" t="s">
        <v>95</v>
      </c>
      <c r="B40" s="7" t="s">
        <v>59</v>
      </c>
      <c r="C40" s="73" t="s">
        <v>210</v>
      </c>
      <c r="D40" s="74"/>
      <c r="E40" s="14"/>
      <c r="F40" s="14"/>
      <c r="G40" s="14"/>
    </row>
    <row r="41" spans="1:7" ht="12.75" customHeight="1" x14ac:dyDescent="0.3">
      <c r="A41" s="6" t="s">
        <v>96</v>
      </c>
      <c r="B41" s="7" t="s">
        <v>59</v>
      </c>
      <c r="C41" s="73" t="s">
        <v>211</v>
      </c>
      <c r="D41" s="74"/>
      <c r="E41" s="14"/>
      <c r="F41" s="14"/>
      <c r="G41" s="14"/>
    </row>
    <row r="42" spans="1:7" ht="12.75" customHeight="1" x14ac:dyDescent="0.3">
      <c r="A42" s="6" t="s">
        <v>97</v>
      </c>
      <c r="B42" s="7" t="s">
        <v>59</v>
      </c>
      <c r="C42" s="73" t="s">
        <v>212</v>
      </c>
      <c r="D42" s="74"/>
      <c r="E42" s="14"/>
      <c r="F42" s="14"/>
      <c r="G42" s="14"/>
    </row>
    <row r="43" spans="1:7" ht="12.75" customHeight="1" x14ac:dyDescent="0.3">
      <c r="A43" s="6" t="s">
        <v>98</v>
      </c>
      <c r="B43" s="7" t="s">
        <v>59</v>
      </c>
      <c r="C43" s="73" t="s">
        <v>213</v>
      </c>
      <c r="D43" s="74"/>
      <c r="E43" s="14"/>
      <c r="F43" s="14"/>
      <c r="G43" s="14"/>
    </row>
    <row r="44" spans="1:7" ht="12.75" customHeight="1" x14ac:dyDescent="0.3">
      <c r="A44" s="6" t="s">
        <v>99</v>
      </c>
      <c r="B44" s="7" t="s">
        <v>59</v>
      </c>
      <c r="C44" s="73" t="s">
        <v>214</v>
      </c>
      <c r="D44" s="74"/>
      <c r="E44" s="14"/>
      <c r="F44" s="14"/>
      <c r="G44" s="14"/>
    </row>
    <row r="45" spans="1:7" ht="12.75" customHeight="1" x14ac:dyDescent="0.3">
      <c r="A45" s="6" t="s">
        <v>100</v>
      </c>
      <c r="B45" s="7" t="s">
        <v>59</v>
      </c>
      <c r="C45" s="73" t="s">
        <v>215</v>
      </c>
      <c r="D45" s="74"/>
      <c r="E45" s="14"/>
      <c r="F45" s="14"/>
      <c r="G45" s="14"/>
    </row>
    <row r="46" spans="1:7" ht="12.75" customHeight="1" x14ac:dyDescent="0.3">
      <c r="A46" s="6" t="s">
        <v>101</v>
      </c>
      <c r="B46" s="7" t="s">
        <v>59</v>
      </c>
      <c r="C46" s="73" t="s">
        <v>216</v>
      </c>
      <c r="D46" s="74"/>
      <c r="E46" s="40">
        <v>0</v>
      </c>
      <c r="F46" s="14"/>
      <c r="G46" s="14"/>
    </row>
    <row r="47" spans="1:7" ht="12.75" customHeight="1" x14ac:dyDescent="0.3">
      <c r="A47" s="6" t="s">
        <v>102</v>
      </c>
      <c r="B47" s="7" t="s">
        <v>59</v>
      </c>
      <c r="C47" s="135"/>
      <c r="D47" s="99"/>
      <c r="E47" s="14"/>
      <c r="F47" s="14"/>
      <c r="G47" s="14"/>
    </row>
    <row r="48" spans="1:7" ht="12.75" customHeight="1" x14ac:dyDescent="0.3">
      <c r="A48" s="6" t="s">
        <v>103</v>
      </c>
      <c r="B48" s="7" t="s">
        <v>59</v>
      </c>
      <c r="C48" s="73" t="s">
        <v>217</v>
      </c>
      <c r="D48" s="74"/>
      <c r="E48" s="14"/>
      <c r="F48" s="14"/>
      <c r="G48" s="14"/>
    </row>
    <row r="49" spans="1:7" ht="12.75" customHeight="1" x14ac:dyDescent="0.3">
      <c r="A49" s="6" t="s">
        <v>104</v>
      </c>
      <c r="B49" s="7" t="s">
        <v>59</v>
      </c>
      <c r="C49" s="73" t="s">
        <v>218</v>
      </c>
      <c r="D49" s="74"/>
      <c r="E49" s="14"/>
      <c r="F49" s="14"/>
      <c r="G49" s="14"/>
    </row>
    <row r="50" spans="1:7" ht="12.75" customHeight="1" x14ac:dyDescent="0.3">
      <c r="A50" s="6" t="s">
        <v>106</v>
      </c>
      <c r="B50" s="7" t="s">
        <v>59</v>
      </c>
      <c r="C50" s="73" t="s">
        <v>204</v>
      </c>
      <c r="D50" s="74"/>
      <c r="E50" s="14"/>
      <c r="F50" s="14"/>
      <c r="G50" s="14"/>
    </row>
    <row r="51" spans="1:7" ht="12.75" customHeight="1" x14ac:dyDescent="0.3">
      <c r="A51" s="6" t="s">
        <v>107</v>
      </c>
      <c r="B51" s="7" t="s">
        <v>59</v>
      </c>
      <c r="C51" s="73" t="s">
        <v>219</v>
      </c>
      <c r="D51" s="74"/>
      <c r="E51" s="14"/>
      <c r="F51" s="14"/>
      <c r="G51" s="14"/>
    </row>
    <row r="52" spans="1:7" ht="12.75" customHeight="1" x14ac:dyDescent="0.3">
      <c r="A52" s="6" t="s">
        <v>108</v>
      </c>
      <c r="B52" s="7" t="s">
        <v>59</v>
      </c>
      <c r="C52" s="73" t="s">
        <v>220</v>
      </c>
      <c r="D52" s="74"/>
      <c r="E52" s="14"/>
      <c r="F52" s="14"/>
      <c r="G52" s="14"/>
    </row>
    <row r="53" spans="1:7" ht="12.75" customHeight="1" x14ac:dyDescent="0.3">
      <c r="A53" s="6" t="s">
        <v>109</v>
      </c>
      <c r="B53" s="7" t="s">
        <v>59</v>
      </c>
      <c r="C53" s="73" t="s">
        <v>178</v>
      </c>
      <c r="D53" s="74"/>
      <c r="E53" s="14"/>
      <c r="F53" s="14"/>
      <c r="G53" s="14"/>
    </row>
    <row r="54" spans="1:7" ht="12.75" customHeight="1" x14ac:dyDescent="0.3">
      <c r="A54" s="6" t="s">
        <v>110</v>
      </c>
      <c r="B54" s="7" t="s">
        <v>59</v>
      </c>
      <c r="C54" s="73" t="s">
        <v>178</v>
      </c>
      <c r="D54" s="74"/>
      <c r="E54" s="14"/>
      <c r="F54" s="14"/>
      <c r="G54" s="14"/>
    </row>
    <row r="55" spans="1:7" ht="12.75" customHeight="1" x14ac:dyDescent="0.3">
      <c r="A55" s="6" t="s">
        <v>111</v>
      </c>
      <c r="B55" s="7" t="s">
        <v>59</v>
      </c>
      <c r="C55" s="73" t="s">
        <v>178</v>
      </c>
      <c r="D55" s="74"/>
      <c r="E55" s="14"/>
      <c r="F55" s="14"/>
      <c r="G55" s="14"/>
    </row>
    <row r="56" spans="1:7" ht="12.75" customHeight="1" x14ac:dyDescent="0.3">
      <c r="A56" s="6"/>
      <c r="B56" s="12"/>
      <c r="C56" s="41"/>
      <c r="D56" s="21"/>
      <c r="E56" s="14"/>
      <c r="F56" s="14"/>
      <c r="G56" s="14"/>
    </row>
    <row r="57" spans="1:7" ht="12.75" customHeight="1" x14ac:dyDescent="0.3">
      <c r="A57" s="6"/>
      <c r="B57" s="25"/>
      <c r="C57" s="42"/>
      <c r="D57" s="42"/>
      <c r="E57" s="14"/>
      <c r="F57" s="14"/>
      <c r="G57" s="14"/>
    </row>
    <row r="58" spans="1:7" ht="14.25" customHeight="1" x14ac:dyDescent="0.3">
      <c r="A58" s="6"/>
      <c r="B58" s="25"/>
      <c r="C58" s="43"/>
      <c r="D58" s="14"/>
      <c r="E58" s="14"/>
      <c r="F58" s="14"/>
      <c r="G58" s="14"/>
    </row>
    <row r="59" spans="1:7" ht="14.25" customHeight="1" x14ac:dyDescent="0.3">
      <c r="A59" s="13"/>
      <c r="B59" s="138" t="s">
        <v>221</v>
      </c>
      <c r="C59" s="87"/>
      <c r="D59" s="88"/>
      <c r="E59" s="14"/>
      <c r="F59" s="14"/>
      <c r="G59" s="14"/>
    </row>
    <row r="60" spans="1:7" ht="14.25" customHeight="1" x14ac:dyDescent="0.3">
      <c r="A60" s="14"/>
      <c r="B60" s="31">
        <v>52</v>
      </c>
      <c r="C60" s="136">
        <v>7.8</v>
      </c>
      <c r="D60" s="137"/>
      <c r="E60" s="14"/>
      <c r="F60" s="14"/>
      <c r="G60" s="14"/>
    </row>
    <row r="61" spans="1:7" ht="58.5" customHeight="1" x14ac:dyDescent="0.3">
      <c r="A61" s="138" t="s">
        <v>114</v>
      </c>
      <c r="B61" s="87"/>
      <c r="C61" s="87"/>
      <c r="D61" s="88"/>
      <c r="E61" s="14"/>
      <c r="F61" s="14"/>
      <c r="G61" s="14"/>
    </row>
    <row r="62" spans="1:7" ht="14.25" customHeight="1" x14ac:dyDescent="0.3"/>
    <row r="63" spans="1:7" ht="14.25" customHeight="1" x14ac:dyDescent="0.3"/>
    <row r="64" spans="1:7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37">
    <mergeCell ref="C47:D47"/>
    <mergeCell ref="C48:D48"/>
    <mergeCell ref="C49:D49"/>
    <mergeCell ref="C60:D60"/>
    <mergeCell ref="A61:D61"/>
    <mergeCell ref="C50:D50"/>
    <mergeCell ref="C51:D51"/>
    <mergeCell ref="C52:D52"/>
    <mergeCell ref="C53:D53"/>
    <mergeCell ref="C54:D54"/>
    <mergeCell ref="C55:D55"/>
    <mergeCell ref="B59:D59"/>
    <mergeCell ref="C42:D42"/>
    <mergeCell ref="C43:D43"/>
    <mergeCell ref="C44:D44"/>
    <mergeCell ref="C45:D45"/>
    <mergeCell ref="C46:D46"/>
    <mergeCell ref="C37:D37"/>
    <mergeCell ref="C38:D38"/>
    <mergeCell ref="C39:D39"/>
    <mergeCell ref="C40:D40"/>
    <mergeCell ref="C41:D41"/>
    <mergeCell ref="C32:D32"/>
    <mergeCell ref="C33:D33"/>
    <mergeCell ref="C34:D34"/>
    <mergeCell ref="C35:D35"/>
    <mergeCell ref="C36:D36"/>
    <mergeCell ref="A6:D6"/>
    <mergeCell ref="C7:D7"/>
    <mergeCell ref="C8:D8"/>
    <mergeCell ref="A9:C9"/>
    <mergeCell ref="A19:C19"/>
    <mergeCell ref="A1:D1"/>
    <mergeCell ref="C2:D2"/>
    <mergeCell ref="C3:D3"/>
    <mergeCell ref="A4:D4"/>
    <mergeCell ref="C5:D5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1000"/>
  <sheetViews>
    <sheetView workbookViewId="0">
      <selection activeCell="C4" sqref="C4"/>
    </sheetView>
  </sheetViews>
  <sheetFormatPr defaultColWidth="14.44140625" defaultRowHeight="15" customHeight="1" x14ac:dyDescent="0.3"/>
  <cols>
    <col min="1" max="1" width="57.6640625" customWidth="1"/>
    <col min="2" max="2" width="5.44140625" customWidth="1"/>
    <col min="3" max="3" width="13.88671875" customWidth="1"/>
    <col min="4" max="4" width="10.6640625" customWidth="1"/>
    <col min="5" max="5" width="8.88671875" customWidth="1"/>
    <col min="6" max="26" width="8.6640625" customWidth="1"/>
  </cols>
  <sheetData>
    <row r="1" spans="1:4" ht="14.25" customHeight="1" x14ac:dyDescent="0.4">
      <c r="A1" s="79" t="s">
        <v>0</v>
      </c>
      <c r="B1" s="80"/>
      <c r="C1" s="80"/>
      <c r="D1" s="81"/>
    </row>
    <row r="2" spans="1:4" ht="70.5" customHeight="1" x14ac:dyDescent="0.3">
      <c r="A2" s="82"/>
      <c r="B2" s="83"/>
      <c r="C2" s="83"/>
      <c r="D2" s="83"/>
    </row>
    <row r="3" spans="1:4" ht="18" customHeight="1" x14ac:dyDescent="0.3">
      <c r="A3" s="2" t="s">
        <v>1</v>
      </c>
      <c r="B3" s="3" t="s">
        <v>2</v>
      </c>
      <c r="C3" s="4" t="s">
        <v>3</v>
      </c>
      <c r="D3" s="5" t="s">
        <v>4</v>
      </c>
    </row>
    <row r="4" spans="1:4" ht="14.25" customHeight="1" x14ac:dyDescent="0.3">
      <c r="A4" s="6" t="s">
        <v>5</v>
      </c>
      <c r="B4" s="7" t="s">
        <v>6</v>
      </c>
      <c r="C4" s="8" t="s">
        <v>222</v>
      </c>
      <c r="D4" s="8" t="s">
        <v>223</v>
      </c>
    </row>
    <row r="5" spans="1:4" ht="14.25" customHeight="1" x14ac:dyDescent="0.3">
      <c r="A5" s="6" t="s">
        <v>7</v>
      </c>
      <c r="B5" s="7" t="s">
        <v>6</v>
      </c>
      <c r="C5" s="8" t="s">
        <v>224</v>
      </c>
      <c r="D5" s="8" t="s">
        <v>225</v>
      </c>
    </row>
    <row r="6" spans="1:4" ht="14.25" customHeight="1" x14ac:dyDescent="0.3">
      <c r="A6" s="6" t="s">
        <v>8</v>
      </c>
      <c r="B6" s="7" t="s">
        <v>6</v>
      </c>
      <c r="C6" s="8" t="s">
        <v>226</v>
      </c>
      <c r="D6" s="8" t="s">
        <v>227</v>
      </c>
    </row>
    <row r="7" spans="1:4" ht="14.25" customHeight="1" x14ac:dyDescent="0.3">
      <c r="A7" s="6" t="s">
        <v>9</v>
      </c>
      <c r="B7" s="7" t="s">
        <v>6</v>
      </c>
      <c r="C7" s="8" t="s">
        <v>228</v>
      </c>
      <c r="D7" s="8" t="s">
        <v>229</v>
      </c>
    </row>
    <row r="8" spans="1:4" ht="14.25" customHeight="1" x14ac:dyDescent="0.3">
      <c r="A8" s="6" t="s">
        <v>10</v>
      </c>
      <c r="B8" s="7" t="s">
        <v>6</v>
      </c>
      <c r="C8" s="8" t="s">
        <v>230</v>
      </c>
      <c r="D8" s="8" t="s">
        <v>231</v>
      </c>
    </row>
    <row r="9" spans="1:4" ht="14.25" customHeight="1" x14ac:dyDescent="0.3">
      <c r="A9" s="6" t="s">
        <v>11</v>
      </c>
      <c r="B9" s="7" t="s">
        <v>6</v>
      </c>
      <c r="C9" s="8" t="s">
        <v>232</v>
      </c>
      <c r="D9" s="8" t="s">
        <v>233</v>
      </c>
    </row>
    <row r="10" spans="1:4" ht="14.25" customHeight="1" x14ac:dyDescent="0.3">
      <c r="A10" s="6" t="s">
        <v>12</v>
      </c>
      <c r="B10" s="7" t="s">
        <v>6</v>
      </c>
      <c r="C10" s="8" t="s">
        <v>234</v>
      </c>
      <c r="D10" s="8" t="s">
        <v>235</v>
      </c>
    </row>
    <row r="11" spans="1:4" ht="14.25" customHeight="1" x14ac:dyDescent="0.3">
      <c r="A11" s="6" t="s">
        <v>13</v>
      </c>
      <c r="B11" s="7" t="s">
        <v>6</v>
      </c>
      <c r="C11" s="8" t="s">
        <v>236</v>
      </c>
      <c r="D11" s="8" t="s">
        <v>237</v>
      </c>
    </row>
    <row r="12" spans="1:4" ht="14.25" customHeight="1" x14ac:dyDescent="0.3">
      <c r="A12" s="6" t="s">
        <v>14</v>
      </c>
      <c r="B12" s="7" t="s">
        <v>6</v>
      </c>
      <c r="C12" s="8" t="s">
        <v>238</v>
      </c>
      <c r="D12" s="8" t="s">
        <v>239</v>
      </c>
    </row>
    <row r="13" spans="1:4" ht="18" customHeight="1" x14ac:dyDescent="0.3">
      <c r="A13" s="9" t="s">
        <v>15</v>
      </c>
      <c r="B13" s="44" t="s">
        <v>2</v>
      </c>
      <c r="C13" s="44" t="s">
        <v>3</v>
      </c>
      <c r="D13" s="45"/>
    </row>
    <row r="14" spans="1:4" ht="14.25" customHeight="1" x14ac:dyDescent="0.3">
      <c r="A14" s="6" t="s">
        <v>16</v>
      </c>
      <c r="B14" s="7" t="s">
        <v>6</v>
      </c>
      <c r="C14" s="8" t="s">
        <v>240</v>
      </c>
      <c r="D14" s="45"/>
    </row>
    <row r="15" spans="1:4" ht="14.25" customHeight="1" x14ac:dyDescent="0.3">
      <c r="A15" s="6" t="s">
        <v>17</v>
      </c>
      <c r="B15" s="7" t="s">
        <v>6</v>
      </c>
      <c r="C15" s="8" t="s">
        <v>241</v>
      </c>
      <c r="D15" s="45"/>
    </row>
    <row r="16" spans="1:4" ht="14.25" customHeight="1" x14ac:dyDescent="0.3">
      <c r="A16" s="6" t="s">
        <v>18</v>
      </c>
      <c r="B16" s="7" t="s">
        <v>6</v>
      </c>
      <c r="C16" s="8" t="s">
        <v>242</v>
      </c>
      <c r="D16" s="45"/>
    </row>
    <row r="17" spans="1:4" ht="14.25" customHeight="1" x14ac:dyDescent="0.3">
      <c r="A17" s="6" t="s">
        <v>19</v>
      </c>
      <c r="B17" s="7" t="s">
        <v>6</v>
      </c>
      <c r="C17" s="8" t="s">
        <v>243</v>
      </c>
      <c r="D17" s="45"/>
    </row>
    <row r="18" spans="1:4" ht="14.25" customHeight="1" x14ac:dyDescent="0.3">
      <c r="A18" s="6" t="s">
        <v>20</v>
      </c>
      <c r="B18" s="7" t="s">
        <v>6</v>
      </c>
      <c r="C18" s="8" t="s">
        <v>244</v>
      </c>
      <c r="D18" s="45"/>
    </row>
    <row r="19" spans="1:4" ht="18" customHeight="1" x14ac:dyDescent="0.3">
      <c r="A19" s="9" t="s">
        <v>21</v>
      </c>
      <c r="B19" s="44" t="s">
        <v>2</v>
      </c>
      <c r="C19" s="46" t="s">
        <v>3</v>
      </c>
      <c r="D19" s="5" t="s">
        <v>4</v>
      </c>
    </row>
    <row r="20" spans="1:4" ht="14.25" customHeight="1" x14ac:dyDescent="0.3">
      <c r="A20" s="6" t="s">
        <v>23</v>
      </c>
      <c r="B20" s="7" t="s">
        <v>6</v>
      </c>
      <c r="C20" s="8" t="s">
        <v>245</v>
      </c>
      <c r="D20" s="8" t="s">
        <v>246</v>
      </c>
    </row>
    <row r="21" spans="1:4" ht="14.25" customHeight="1" x14ac:dyDescent="0.3">
      <c r="A21" s="6" t="s">
        <v>24</v>
      </c>
      <c r="B21" s="7" t="s">
        <v>6</v>
      </c>
      <c r="C21" s="8" t="s">
        <v>247</v>
      </c>
      <c r="D21" s="8" t="s">
        <v>248</v>
      </c>
    </row>
    <row r="22" spans="1:4" ht="14.25" customHeight="1" x14ac:dyDescent="0.3">
      <c r="A22" s="6" t="s">
        <v>25</v>
      </c>
      <c r="B22" s="7" t="s">
        <v>6</v>
      </c>
      <c r="C22" s="8" t="s">
        <v>249</v>
      </c>
      <c r="D22" s="8" t="s">
        <v>250</v>
      </c>
    </row>
    <row r="23" spans="1:4" ht="14.25" customHeight="1" x14ac:dyDescent="0.3">
      <c r="A23" s="6" t="s">
        <v>26</v>
      </c>
      <c r="B23" s="7" t="s">
        <v>6</v>
      </c>
      <c r="C23" s="8" t="s">
        <v>251</v>
      </c>
      <c r="D23" s="8" t="s">
        <v>252</v>
      </c>
    </row>
    <row r="24" spans="1:4" ht="14.25" customHeight="1" x14ac:dyDescent="0.3">
      <c r="A24" s="6" t="s">
        <v>27</v>
      </c>
      <c r="B24" s="7" t="s">
        <v>6</v>
      </c>
      <c r="C24" s="8" t="s">
        <v>253</v>
      </c>
      <c r="D24" s="8" t="s">
        <v>254</v>
      </c>
    </row>
    <row r="25" spans="1:4" ht="14.25" customHeight="1" x14ac:dyDescent="0.3">
      <c r="A25" s="6" t="s">
        <v>28</v>
      </c>
      <c r="B25" s="7" t="s">
        <v>6</v>
      </c>
      <c r="C25" s="8" t="s">
        <v>255</v>
      </c>
      <c r="D25" s="8" t="s">
        <v>256</v>
      </c>
    </row>
    <row r="26" spans="1:4" ht="14.25" customHeight="1" x14ac:dyDescent="0.3">
      <c r="A26" s="6" t="s">
        <v>29</v>
      </c>
      <c r="B26" s="7" t="s">
        <v>6</v>
      </c>
      <c r="C26" s="8" t="s">
        <v>257</v>
      </c>
      <c r="D26" s="8" t="s">
        <v>258</v>
      </c>
    </row>
    <row r="27" spans="1:4" ht="14.25" customHeight="1" x14ac:dyDescent="0.3">
      <c r="A27" s="6" t="s">
        <v>30</v>
      </c>
      <c r="B27" s="7" t="s">
        <v>6</v>
      </c>
      <c r="C27" s="8" t="s">
        <v>259</v>
      </c>
      <c r="D27" s="8" t="s">
        <v>260</v>
      </c>
    </row>
    <row r="28" spans="1:4" ht="14.25" customHeight="1" x14ac:dyDescent="0.3">
      <c r="A28" s="6" t="s">
        <v>31</v>
      </c>
      <c r="B28" s="7" t="s">
        <v>6</v>
      </c>
      <c r="C28" s="8" t="s">
        <v>261</v>
      </c>
      <c r="D28" s="8" t="s">
        <v>262</v>
      </c>
    </row>
    <row r="29" spans="1:4" ht="14.25" customHeight="1" x14ac:dyDescent="0.3">
      <c r="A29" s="6" t="s">
        <v>32</v>
      </c>
      <c r="B29" s="7" t="s">
        <v>6</v>
      </c>
      <c r="C29" s="8" t="s">
        <v>263</v>
      </c>
      <c r="D29" s="8" t="s">
        <v>264</v>
      </c>
    </row>
    <row r="30" spans="1:4" ht="14.25" customHeight="1" x14ac:dyDescent="0.3">
      <c r="A30" s="6" t="s">
        <v>33</v>
      </c>
      <c r="B30" s="7" t="s">
        <v>6</v>
      </c>
      <c r="C30" s="8" t="s">
        <v>265</v>
      </c>
      <c r="D30" s="8" t="s">
        <v>266</v>
      </c>
    </row>
    <row r="31" spans="1:4" ht="14.25" customHeight="1" x14ac:dyDescent="0.3">
      <c r="A31" s="6" t="s">
        <v>34</v>
      </c>
      <c r="B31" s="7" t="s">
        <v>6</v>
      </c>
      <c r="C31" s="8" t="s">
        <v>267</v>
      </c>
      <c r="D31" s="8" t="s">
        <v>268</v>
      </c>
    </row>
    <row r="32" spans="1:4" ht="14.25" customHeight="1" x14ac:dyDescent="0.3">
      <c r="A32" s="6" t="s">
        <v>35</v>
      </c>
      <c r="B32" s="7" t="s">
        <v>6</v>
      </c>
      <c r="C32" s="8" t="s">
        <v>269</v>
      </c>
      <c r="D32" s="8" t="s">
        <v>270</v>
      </c>
    </row>
    <row r="33" spans="1:4" ht="14.25" customHeight="1" x14ac:dyDescent="0.3">
      <c r="A33" s="6" t="s">
        <v>36</v>
      </c>
      <c r="B33" s="7" t="s">
        <v>6</v>
      </c>
      <c r="C33" s="8" t="s">
        <v>271</v>
      </c>
      <c r="D33" s="8" t="s">
        <v>272</v>
      </c>
    </row>
    <row r="34" spans="1:4" ht="14.25" customHeight="1" x14ac:dyDescent="0.3">
      <c r="A34" s="6" t="s">
        <v>37</v>
      </c>
      <c r="B34" s="7" t="s">
        <v>6</v>
      </c>
      <c r="C34" s="8" t="s">
        <v>273</v>
      </c>
      <c r="D34" s="8" t="s">
        <v>274</v>
      </c>
    </row>
    <row r="35" spans="1:4" ht="14.25" customHeight="1" x14ac:dyDescent="0.3">
      <c r="A35" s="6" t="s">
        <v>38</v>
      </c>
      <c r="B35" s="7" t="s">
        <v>6</v>
      </c>
      <c r="C35" s="8" t="s">
        <v>275</v>
      </c>
      <c r="D35" s="8" t="s">
        <v>276</v>
      </c>
    </row>
    <row r="36" spans="1:4" ht="14.25" customHeight="1" x14ac:dyDescent="0.3">
      <c r="A36" s="6" t="s">
        <v>39</v>
      </c>
      <c r="B36" s="7" t="s">
        <v>6</v>
      </c>
      <c r="C36" s="8" t="s">
        <v>277</v>
      </c>
      <c r="D36" s="8" t="s">
        <v>278</v>
      </c>
    </row>
    <row r="37" spans="1:4" ht="14.25" customHeight="1" x14ac:dyDescent="0.3">
      <c r="A37" s="6" t="s">
        <v>40</v>
      </c>
      <c r="B37" s="7" t="s">
        <v>6</v>
      </c>
      <c r="C37" s="8" t="s">
        <v>279</v>
      </c>
      <c r="D37" s="8" t="s">
        <v>280</v>
      </c>
    </row>
    <row r="38" spans="1:4" ht="14.25" customHeight="1" x14ac:dyDescent="0.3">
      <c r="A38" s="6" t="s">
        <v>41</v>
      </c>
      <c r="B38" s="7" t="s">
        <v>6</v>
      </c>
      <c r="C38" s="8" t="s">
        <v>281</v>
      </c>
      <c r="D38" s="8" t="s">
        <v>282</v>
      </c>
    </row>
    <row r="39" spans="1:4" ht="14.25" customHeight="1" x14ac:dyDescent="0.3">
      <c r="A39" s="6" t="s">
        <v>42</v>
      </c>
      <c r="B39" s="7" t="s">
        <v>6</v>
      </c>
      <c r="C39" s="8" t="s">
        <v>283</v>
      </c>
      <c r="D39" s="8" t="s">
        <v>284</v>
      </c>
    </row>
    <row r="40" spans="1:4" ht="14.25" customHeight="1" x14ac:dyDescent="0.3">
      <c r="A40" s="6" t="s">
        <v>43</v>
      </c>
      <c r="B40" s="7" t="s">
        <v>6</v>
      </c>
      <c r="C40" s="8" t="s">
        <v>285</v>
      </c>
      <c r="D40" s="8" t="s">
        <v>286</v>
      </c>
    </row>
    <row r="41" spans="1:4" ht="14.25" customHeight="1" x14ac:dyDescent="0.3">
      <c r="A41" s="6" t="s">
        <v>44</v>
      </c>
      <c r="B41" s="7" t="s">
        <v>6</v>
      </c>
      <c r="C41" s="8" t="s">
        <v>287</v>
      </c>
      <c r="D41" s="8" t="s">
        <v>288</v>
      </c>
    </row>
    <row r="42" spans="1:4" ht="14.25" customHeight="1" x14ac:dyDescent="0.3">
      <c r="A42" s="6" t="s">
        <v>45</v>
      </c>
      <c r="B42" s="7" t="s">
        <v>6</v>
      </c>
      <c r="C42" s="8" t="s">
        <v>289</v>
      </c>
      <c r="D42" s="8" t="s">
        <v>290</v>
      </c>
    </row>
    <row r="43" spans="1:4" ht="14.25" customHeight="1" x14ac:dyDescent="0.3">
      <c r="A43" s="6" t="s">
        <v>46</v>
      </c>
      <c r="B43" s="7" t="s">
        <v>6</v>
      </c>
      <c r="C43" s="8" t="s">
        <v>291</v>
      </c>
      <c r="D43" s="8" t="s">
        <v>292</v>
      </c>
    </row>
    <row r="44" spans="1:4" ht="14.25" customHeight="1" x14ac:dyDescent="0.3">
      <c r="A44" s="6" t="s">
        <v>47</v>
      </c>
      <c r="B44" s="7" t="s">
        <v>6</v>
      </c>
      <c r="C44" s="8" t="s">
        <v>293</v>
      </c>
      <c r="D44" s="8" t="s">
        <v>294</v>
      </c>
    </row>
    <row r="45" spans="1:4" ht="14.25" customHeight="1" x14ac:dyDescent="0.3">
      <c r="A45" s="6" t="s">
        <v>48</v>
      </c>
      <c r="B45" s="7" t="s">
        <v>6</v>
      </c>
      <c r="C45" s="8" t="s">
        <v>295</v>
      </c>
      <c r="D45" s="8" t="s">
        <v>296</v>
      </c>
    </row>
    <row r="46" spans="1:4" ht="14.25" customHeight="1" x14ac:dyDescent="0.3">
      <c r="A46" s="6" t="s">
        <v>49</v>
      </c>
      <c r="B46" s="7" t="s">
        <v>6</v>
      </c>
      <c r="C46" s="8" t="s">
        <v>297</v>
      </c>
      <c r="D46" s="8" t="s">
        <v>298</v>
      </c>
    </row>
    <row r="47" spans="1:4" ht="14.25" customHeight="1" x14ac:dyDescent="0.3">
      <c r="A47" s="6" t="s">
        <v>50</v>
      </c>
      <c r="B47" s="7" t="s">
        <v>6</v>
      </c>
      <c r="C47" s="8" t="s">
        <v>299</v>
      </c>
      <c r="D47" s="8" t="s">
        <v>300</v>
      </c>
    </row>
    <row r="48" spans="1:4" ht="14.25" customHeight="1" x14ac:dyDescent="0.3">
      <c r="A48" s="6" t="s">
        <v>51</v>
      </c>
      <c r="B48" s="7" t="s">
        <v>6</v>
      </c>
      <c r="C48" s="8" t="s">
        <v>301</v>
      </c>
      <c r="D48" s="8" t="s">
        <v>302</v>
      </c>
    </row>
    <row r="49" spans="1:4" ht="14.25" customHeight="1" x14ac:dyDescent="0.3">
      <c r="A49" s="6" t="s">
        <v>52</v>
      </c>
      <c r="B49" s="12" t="s">
        <v>6</v>
      </c>
      <c r="C49" s="8" t="s">
        <v>303</v>
      </c>
      <c r="D49" s="8" t="s">
        <v>304</v>
      </c>
    </row>
    <row r="50" spans="1:4" ht="14.25" customHeight="1" x14ac:dyDescent="0.3">
      <c r="A50" s="13"/>
      <c r="B50" s="138" t="s">
        <v>221</v>
      </c>
      <c r="C50" s="87"/>
      <c r="D50" s="88"/>
    </row>
    <row r="51" spans="1:4" ht="14.25" customHeight="1" x14ac:dyDescent="0.3">
      <c r="A51" s="14"/>
      <c r="B51" s="31">
        <v>62.9</v>
      </c>
      <c r="C51" s="44">
        <v>7.8</v>
      </c>
      <c r="D51" s="14"/>
    </row>
    <row r="52" spans="1:4" ht="58.5" customHeight="1" x14ac:dyDescent="0.3">
      <c r="A52" s="139" t="s">
        <v>54</v>
      </c>
      <c r="B52" s="80"/>
      <c r="C52" s="80"/>
      <c r="D52" s="81"/>
    </row>
    <row r="53" spans="1:4" ht="14.25" customHeight="1" x14ac:dyDescent="0.3"/>
    <row r="54" spans="1:4" ht="14.25" customHeight="1" x14ac:dyDescent="0.3"/>
    <row r="55" spans="1:4" ht="14.25" customHeight="1" x14ac:dyDescent="0.3"/>
    <row r="56" spans="1:4" ht="14.25" customHeight="1" x14ac:dyDescent="0.3"/>
    <row r="57" spans="1:4" ht="14.25" customHeight="1" x14ac:dyDescent="0.3"/>
    <row r="58" spans="1:4" ht="14.25" customHeight="1" x14ac:dyDescent="0.3"/>
    <row r="59" spans="1:4" ht="14.25" customHeight="1" x14ac:dyDescent="0.3"/>
    <row r="60" spans="1:4" ht="14.25" customHeight="1" x14ac:dyDescent="0.3"/>
    <row r="61" spans="1:4" ht="14.25" customHeight="1" x14ac:dyDescent="0.3"/>
    <row r="62" spans="1:4" ht="14.25" customHeight="1" x14ac:dyDescent="0.3"/>
    <row r="63" spans="1:4" ht="14.25" customHeight="1" x14ac:dyDescent="0.3"/>
    <row r="64" spans="1: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4">
    <mergeCell ref="A1:D1"/>
    <mergeCell ref="A2:D2"/>
    <mergeCell ref="B50:D50"/>
    <mergeCell ref="A52:D52"/>
  </mergeCells>
  <pageMargins left="0.511811024" right="0.511811024" top="0.78740157499999996" bottom="0.78740157499999996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TABELA FLEX E PP 06.2025</vt:lpstr>
      <vt:lpstr>TABELA ALFA E AUTOFLEX 06.2025</vt:lpstr>
      <vt:lpstr>TABELA ATUA 06.2025</vt:lpstr>
      <vt:lpstr>ANDREI 1KV</vt:lpstr>
      <vt:lpstr>TABELA ATUA Gislei</vt:lpstr>
      <vt:lpstr> Tab FLex e PP Gislei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da Gloria Itamar Cunha</dc:creator>
  <cp:lastModifiedBy>Maria da Gloria Itamar Cunha</cp:lastModifiedBy>
  <cp:lastPrinted>2025-06-04T21:13:07Z</cp:lastPrinted>
  <dcterms:created xsi:type="dcterms:W3CDTF">2022-04-06T18:44:47Z</dcterms:created>
  <dcterms:modified xsi:type="dcterms:W3CDTF">2025-10-15T03:07:42Z</dcterms:modified>
</cp:coreProperties>
</file>