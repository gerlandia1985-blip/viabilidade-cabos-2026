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  <Override PartName="/xl/commentsmeta1" ContentType="application/binary"/>
  <Override PartName="/xl/commentsmeta2" ContentType="application/binary"/>
  <Override PartName="/xl/commentsmeta3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:\Meu Drive\MAXFIO CONDUTORES ELETRICOS 37226584.0001.28\COMERCIAL\"/>
    </mc:Choice>
  </mc:AlternateContent>
  <xr:revisionPtr revIDLastSave="0" documentId="13_ncr:1_{F547CEAF-A0AB-4AE0-87A7-A7B04E4400D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VIABILIDADE" sheetId="1" r:id="rId1"/>
    <sheet name=" COMP.MAXFIO" sheetId="2" r:id="rId2"/>
    <sheet name="COMP.AUTOFLEX" sheetId="3" r:id="rId3"/>
    <sheet name="COMP.ALFA (2)" sheetId="4" r:id="rId4"/>
  </sheets>
  <definedNames>
    <definedName name="_xleta.SUM">#NAME?</definedName>
  </definedNames>
  <calcPr calcId="191029" iterateCount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1" roundtripDataChecksum="YPhONkthpAlscQTK0SKzu7Y49xhvL6PeO5h9TZ6sYQI="/>
    </ext>
  </extLst>
</workbook>
</file>

<file path=xl/calcChain.xml><?xml version="1.0" encoding="utf-8"?>
<calcChain xmlns="http://schemas.openxmlformats.org/spreadsheetml/2006/main">
  <c r="E63" i="4" l="1"/>
  <c r="G63" i="4" s="1"/>
  <c r="E62" i="4"/>
  <c r="F62" i="4" s="1"/>
  <c r="E61" i="4"/>
  <c r="G61" i="4" s="1"/>
  <c r="E57" i="4"/>
  <c r="E56" i="4"/>
  <c r="E55" i="4"/>
  <c r="E54" i="4"/>
  <c r="E53" i="4"/>
  <c r="E52" i="4"/>
  <c r="F47" i="4"/>
  <c r="F46" i="4"/>
  <c r="E41" i="4"/>
  <c r="E40" i="4"/>
  <c r="E39" i="4"/>
  <c r="E38" i="4"/>
  <c r="E37" i="4"/>
  <c r="E36" i="4"/>
  <c r="E35" i="4"/>
  <c r="F29" i="4"/>
  <c r="F28" i="4"/>
  <c r="C28" i="4"/>
  <c r="G34" i="4" s="1"/>
  <c r="G40" i="4" s="1"/>
  <c r="F27" i="4"/>
  <c r="C27" i="4"/>
  <c r="F34" i="4" s="1"/>
  <c r="F36" i="4" s="1"/>
  <c r="I23" i="4"/>
  <c r="H23" i="4"/>
  <c r="I22" i="4"/>
  <c r="H22" i="4"/>
  <c r="I21" i="4"/>
  <c r="H21" i="4"/>
  <c r="J73" i="1" s="1"/>
  <c r="J20" i="4"/>
  <c r="I20" i="4"/>
  <c r="H20" i="4"/>
  <c r="I19" i="4"/>
  <c r="H19" i="4"/>
  <c r="J71" i="1" s="1"/>
  <c r="I18" i="4"/>
  <c r="H18" i="4"/>
  <c r="J70" i="1" s="1"/>
  <c r="I17" i="4"/>
  <c r="F17" i="4"/>
  <c r="H17" i="4" s="1"/>
  <c r="I16" i="4"/>
  <c r="F16" i="4"/>
  <c r="H16" i="4" s="1"/>
  <c r="I15" i="4"/>
  <c r="F15" i="4"/>
  <c r="H15" i="4" s="1"/>
  <c r="I14" i="4"/>
  <c r="F14" i="4"/>
  <c r="H14" i="4" s="1"/>
  <c r="J66" i="1" s="1"/>
  <c r="I13" i="4"/>
  <c r="F13" i="4"/>
  <c r="H13" i="4" s="1"/>
  <c r="I12" i="4"/>
  <c r="H12" i="4"/>
  <c r="I11" i="4"/>
  <c r="H11" i="4"/>
  <c r="J63" i="1" s="1"/>
  <c r="I10" i="4"/>
  <c r="H10" i="4"/>
  <c r="I9" i="4"/>
  <c r="G9" i="4"/>
  <c r="J8" i="4"/>
  <c r="I8" i="4"/>
  <c r="G8" i="4"/>
  <c r="I7" i="4"/>
  <c r="H7" i="4"/>
  <c r="I6" i="4"/>
  <c r="H6" i="4"/>
  <c r="K5" i="4"/>
  <c r="K21" i="4" s="1"/>
  <c r="J5" i="4"/>
  <c r="J17" i="4" s="1"/>
  <c r="J4" i="4"/>
  <c r="K3" i="4"/>
  <c r="J21" i="4" s="1"/>
  <c r="E55" i="3"/>
  <c r="G55" i="3" s="1"/>
  <c r="E54" i="3"/>
  <c r="G54" i="3" s="1"/>
  <c r="E53" i="3"/>
  <c r="F53" i="3" s="1"/>
  <c r="E49" i="3"/>
  <c r="E48" i="3"/>
  <c r="E47" i="3"/>
  <c r="E46" i="3"/>
  <c r="E45" i="3"/>
  <c r="E44" i="3"/>
  <c r="F39" i="3"/>
  <c r="F38" i="3"/>
  <c r="E33" i="3"/>
  <c r="E32" i="3"/>
  <c r="E31" i="3"/>
  <c r="E30" i="3"/>
  <c r="E29" i="3"/>
  <c r="E28" i="3"/>
  <c r="E27" i="3"/>
  <c r="F20" i="3"/>
  <c r="F19" i="3"/>
  <c r="I15" i="3"/>
  <c r="F15" i="3"/>
  <c r="I14" i="3"/>
  <c r="F14" i="3"/>
  <c r="H14" i="3" s="1"/>
  <c r="I13" i="3"/>
  <c r="F13" i="3"/>
  <c r="I12" i="3"/>
  <c r="H12" i="3"/>
  <c r="I11" i="3"/>
  <c r="H11" i="3"/>
  <c r="J84" i="1" s="1"/>
  <c r="I10" i="3"/>
  <c r="H10" i="3"/>
  <c r="I9" i="3"/>
  <c r="G9" i="3"/>
  <c r="H9" i="3" s="1"/>
  <c r="J82" i="1" s="1"/>
  <c r="I8" i="3"/>
  <c r="G8" i="3"/>
  <c r="H8" i="3" s="1"/>
  <c r="I7" i="3"/>
  <c r="H7" i="3"/>
  <c r="I6" i="3"/>
  <c r="H6" i="3"/>
  <c r="K5" i="3"/>
  <c r="K14" i="3" s="1"/>
  <c r="J4" i="3"/>
  <c r="E118" i="2"/>
  <c r="D118" i="2"/>
  <c r="E117" i="2"/>
  <c r="D117" i="2"/>
  <c r="E116" i="2"/>
  <c r="D116" i="2"/>
  <c r="E115" i="2"/>
  <c r="D115" i="2"/>
  <c r="E114" i="2"/>
  <c r="D114" i="2"/>
  <c r="E113" i="2"/>
  <c r="D113" i="2"/>
  <c r="E112" i="2"/>
  <c r="D112" i="2"/>
  <c r="E111" i="2"/>
  <c r="D111" i="2"/>
  <c r="E110" i="2"/>
  <c r="D110" i="2"/>
  <c r="E109" i="2"/>
  <c r="D109" i="2"/>
  <c r="E108" i="2"/>
  <c r="D108" i="2"/>
  <c r="E107" i="2"/>
  <c r="D107" i="2"/>
  <c r="E106" i="2"/>
  <c r="D106" i="2"/>
  <c r="E105" i="2"/>
  <c r="D105" i="2"/>
  <c r="E104" i="2"/>
  <c r="F99" i="2"/>
  <c r="F98" i="2"/>
  <c r="E93" i="2"/>
  <c r="D93" i="2"/>
  <c r="E92" i="2"/>
  <c r="D92" i="2"/>
  <c r="E89" i="2"/>
  <c r="D89" i="2"/>
  <c r="E88" i="2"/>
  <c r="D88" i="2"/>
  <c r="E87" i="2"/>
  <c r="D87" i="2"/>
  <c r="E86" i="2"/>
  <c r="D86" i="2"/>
  <c r="E85" i="2"/>
  <c r="D85" i="2"/>
  <c r="E84" i="2"/>
  <c r="D84" i="2"/>
  <c r="E83" i="2"/>
  <c r="D83" i="2"/>
  <c r="E82" i="2"/>
  <c r="D82" i="2"/>
  <c r="E81" i="2"/>
  <c r="E80" i="2"/>
  <c r="E79" i="2"/>
  <c r="E78" i="2"/>
  <c r="E77" i="2"/>
  <c r="E76" i="2"/>
  <c r="E75" i="2"/>
  <c r="J71" i="2"/>
  <c r="I71" i="2"/>
  <c r="L71" i="2" s="1"/>
  <c r="H71" i="2"/>
  <c r="J70" i="2"/>
  <c r="I70" i="2"/>
  <c r="L70" i="2" s="1"/>
  <c r="D115" i="1" s="1"/>
  <c r="F115" i="1" s="1"/>
  <c r="F142" i="1" s="1"/>
  <c r="H142" i="1" s="1"/>
  <c r="H70" i="2"/>
  <c r="J115" i="1" s="1"/>
  <c r="J69" i="2"/>
  <c r="I69" i="2"/>
  <c r="L69" i="2" s="1"/>
  <c r="H69" i="2"/>
  <c r="J140" i="1" s="1"/>
  <c r="J68" i="2"/>
  <c r="I68" i="2"/>
  <c r="H68" i="2"/>
  <c r="J67" i="2"/>
  <c r="I67" i="2"/>
  <c r="L67" i="2" s="1"/>
  <c r="N67" i="2" s="1"/>
  <c r="H67" i="2"/>
  <c r="J66" i="2"/>
  <c r="I66" i="2"/>
  <c r="L66" i="2" s="1"/>
  <c r="D110" i="1" s="1"/>
  <c r="H66" i="2"/>
  <c r="J137" i="1" s="1"/>
  <c r="Q64" i="2"/>
  <c r="R64" i="2" s="1"/>
  <c r="K64" i="2"/>
  <c r="I64" i="2"/>
  <c r="H64" i="2"/>
  <c r="Q63" i="2"/>
  <c r="R63" i="2" s="1"/>
  <c r="K63" i="2"/>
  <c r="J63" i="2"/>
  <c r="I63" i="2"/>
  <c r="L63" i="2" s="1"/>
  <c r="M63" i="2" s="1"/>
  <c r="H63" i="2"/>
  <c r="V63" i="2" s="1"/>
  <c r="Q62" i="2"/>
  <c r="R62" i="2" s="1"/>
  <c r="K62" i="2"/>
  <c r="J62" i="2"/>
  <c r="I62" i="2"/>
  <c r="H62" i="2"/>
  <c r="V62" i="2" s="1"/>
  <c r="V61" i="2"/>
  <c r="U61" i="2"/>
  <c r="T61" i="2"/>
  <c r="Q61" i="2"/>
  <c r="R61" i="2" s="1"/>
  <c r="K61" i="2"/>
  <c r="J61" i="2"/>
  <c r="I61" i="2"/>
  <c r="H61" i="2"/>
  <c r="R60" i="2"/>
  <c r="Q60" i="2"/>
  <c r="K60" i="2"/>
  <c r="J60" i="2"/>
  <c r="I60" i="2"/>
  <c r="H60" i="2"/>
  <c r="V60" i="2" s="1"/>
  <c r="Q59" i="2"/>
  <c r="R59" i="2" s="1"/>
  <c r="K59" i="2"/>
  <c r="J59" i="2"/>
  <c r="I59" i="2"/>
  <c r="H59" i="2"/>
  <c r="V59" i="2" s="1"/>
  <c r="Q58" i="2"/>
  <c r="R58" i="2" s="1"/>
  <c r="K58" i="2"/>
  <c r="J58" i="2"/>
  <c r="I58" i="2"/>
  <c r="H58" i="2"/>
  <c r="T58" i="2" s="1"/>
  <c r="Q57" i="2"/>
  <c r="R57" i="2" s="1"/>
  <c r="K57" i="2"/>
  <c r="J57" i="2"/>
  <c r="I57" i="2"/>
  <c r="H57" i="2"/>
  <c r="V57" i="2" s="1"/>
  <c r="K56" i="2"/>
  <c r="J56" i="2"/>
  <c r="I56" i="2"/>
  <c r="H56" i="2"/>
  <c r="V56" i="2" s="1"/>
  <c r="K55" i="2"/>
  <c r="J55" i="2"/>
  <c r="I55" i="2"/>
  <c r="H55" i="2"/>
  <c r="V55" i="2" s="1"/>
  <c r="K54" i="2"/>
  <c r="J54" i="2"/>
  <c r="I54" i="2"/>
  <c r="H54" i="2"/>
  <c r="J96" i="1" s="1"/>
  <c r="K53" i="2"/>
  <c r="J53" i="2"/>
  <c r="I53" i="2"/>
  <c r="H53" i="2"/>
  <c r="T53" i="2" s="1"/>
  <c r="V52" i="2"/>
  <c r="M51" i="2"/>
  <c r="J51" i="2"/>
  <c r="M50" i="2"/>
  <c r="J50" i="2"/>
  <c r="D50" i="2"/>
  <c r="AA50" i="2" s="1"/>
  <c r="M49" i="2"/>
  <c r="J49" i="2"/>
  <c r="M48" i="2"/>
  <c r="J48" i="2"/>
  <c r="M47" i="2"/>
  <c r="J47" i="2"/>
  <c r="I47" i="2"/>
  <c r="D47" i="2"/>
  <c r="H47" i="2" s="1"/>
  <c r="M46" i="2"/>
  <c r="J46" i="2"/>
  <c r="M45" i="2"/>
  <c r="J45" i="2"/>
  <c r="D45" i="2"/>
  <c r="AA44" i="2"/>
  <c r="M44" i="2"/>
  <c r="J44" i="2"/>
  <c r="I44" i="2"/>
  <c r="H44" i="2"/>
  <c r="M43" i="2"/>
  <c r="AA42" i="2"/>
  <c r="M42" i="2"/>
  <c r="J42" i="2"/>
  <c r="I42" i="2"/>
  <c r="H42" i="2"/>
  <c r="AA41" i="2"/>
  <c r="M41" i="2"/>
  <c r="J41" i="2"/>
  <c r="I41" i="2"/>
  <c r="H41" i="2"/>
  <c r="AA40" i="2"/>
  <c r="M40" i="2"/>
  <c r="J40" i="2"/>
  <c r="I40" i="2"/>
  <c r="O40" i="2" s="1"/>
  <c r="D43" i="1" s="1"/>
  <c r="H40" i="2"/>
  <c r="J43" i="1" s="1"/>
  <c r="AA39" i="2"/>
  <c r="M39" i="2"/>
  <c r="J39" i="2"/>
  <c r="I39" i="2"/>
  <c r="H39" i="2"/>
  <c r="J42" i="1" s="1"/>
  <c r="AA38" i="2"/>
  <c r="M38" i="2"/>
  <c r="J38" i="2"/>
  <c r="I38" i="2"/>
  <c r="H38" i="2"/>
  <c r="J41" i="1" s="1"/>
  <c r="M37" i="2"/>
  <c r="J37" i="2"/>
  <c r="D37" i="2"/>
  <c r="I37" i="2" s="1"/>
  <c r="O37" i="2" s="1"/>
  <c r="D40" i="1" s="1"/>
  <c r="F40" i="1" s="1"/>
  <c r="M36" i="2"/>
  <c r="M35" i="2"/>
  <c r="J35" i="2"/>
  <c r="I35" i="2"/>
  <c r="O35" i="2" s="1"/>
  <c r="D38" i="1" s="1"/>
  <c r="H35" i="2"/>
  <c r="J38" i="1" s="1"/>
  <c r="AA34" i="2"/>
  <c r="M34" i="2"/>
  <c r="J34" i="2"/>
  <c r="I34" i="2"/>
  <c r="O34" i="2" s="1"/>
  <c r="D37" i="1" s="1"/>
  <c r="H34" i="2"/>
  <c r="J37" i="1" s="1"/>
  <c r="AA33" i="2"/>
  <c r="M33" i="2"/>
  <c r="J33" i="2"/>
  <c r="I33" i="2"/>
  <c r="H33" i="2"/>
  <c r="AA32" i="2"/>
  <c r="M32" i="2"/>
  <c r="J32" i="2"/>
  <c r="I32" i="2"/>
  <c r="H32" i="2"/>
  <c r="AA31" i="2"/>
  <c r="M31" i="2"/>
  <c r="J31" i="2"/>
  <c r="I31" i="2"/>
  <c r="H31" i="2"/>
  <c r="AA30" i="2"/>
  <c r="M30" i="2"/>
  <c r="J30" i="2"/>
  <c r="I30" i="2"/>
  <c r="O30" i="2" s="1"/>
  <c r="H30" i="2"/>
  <c r="U30" i="2" s="1"/>
  <c r="AA29" i="2"/>
  <c r="M29" i="2"/>
  <c r="J29" i="2"/>
  <c r="I29" i="2"/>
  <c r="H29" i="2"/>
  <c r="M28" i="2"/>
  <c r="D28" i="2"/>
  <c r="M27" i="2"/>
  <c r="J27" i="2"/>
  <c r="I27" i="2"/>
  <c r="H27" i="2"/>
  <c r="AA26" i="2"/>
  <c r="M26" i="2"/>
  <c r="J26" i="2"/>
  <c r="I26" i="2"/>
  <c r="O26" i="2" s="1"/>
  <c r="D29" i="1" s="1"/>
  <c r="G29" i="1" s="1"/>
  <c r="H26" i="2"/>
  <c r="J29" i="1" s="1"/>
  <c r="AA25" i="2"/>
  <c r="M25" i="2"/>
  <c r="J25" i="2"/>
  <c r="I25" i="2"/>
  <c r="O25" i="2" s="1"/>
  <c r="D28" i="1" s="1"/>
  <c r="H25" i="2"/>
  <c r="J28" i="1" s="1"/>
  <c r="AA24" i="2"/>
  <c r="M24" i="2"/>
  <c r="J24" i="2"/>
  <c r="I24" i="2"/>
  <c r="H24" i="2"/>
  <c r="U24" i="2" s="1"/>
  <c r="AA23" i="2"/>
  <c r="M23" i="2"/>
  <c r="J23" i="2"/>
  <c r="I23" i="2"/>
  <c r="H23" i="2"/>
  <c r="T23" i="2" s="1"/>
  <c r="AA22" i="2"/>
  <c r="M22" i="2"/>
  <c r="J22" i="2"/>
  <c r="I22" i="2"/>
  <c r="H22" i="2"/>
  <c r="U22" i="2" s="1"/>
  <c r="Y21" i="2"/>
  <c r="M21" i="2"/>
  <c r="J21" i="2"/>
  <c r="I21" i="2"/>
  <c r="O21" i="2" s="1"/>
  <c r="D24" i="1" s="1"/>
  <c r="H21" i="2"/>
  <c r="J24" i="1" s="1"/>
  <c r="M20" i="2"/>
  <c r="I20" i="2"/>
  <c r="E20" i="2"/>
  <c r="J20" i="2" s="1"/>
  <c r="M19" i="2"/>
  <c r="L19" i="2"/>
  <c r="J19" i="2"/>
  <c r="I19" i="2"/>
  <c r="H19" i="2"/>
  <c r="M18" i="2"/>
  <c r="L18" i="2"/>
  <c r="J18" i="2"/>
  <c r="I18" i="2"/>
  <c r="H18" i="2"/>
  <c r="M17" i="2"/>
  <c r="L17" i="2"/>
  <c r="J17" i="2"/>
  <c r="I17" i="2"/>
  <c r="H17" i="2"/>
  <c r="M16" i="2"/>
  <c r="L16" i="2"/>
  <c r="J16" i="2"/>
  <c r="I16" i="2"/>
  <c r="H16" i="2"/>
  <c r="J19" i="1" s="1"/>
  <c r="M15" i="2"/>
  <c r="L15" i="2"/>
  <c r="J15" i="2"/>
  <c r="I15" i="2"/>
  <c r="O15" i="2" s="1"/>
  <c r="D18" i="1" s="1"/>
  <c r="F18" i="1" s="1"/>
  <c r="H15" i="2"/>
  <c r="M14" i="2"/>
  <c r="L14" i="2"/>
  <c r="J14" i="2"/>
  <c r="I14" i="2"/>
  <c r="H14" i="2"/>
  <c r="J17" i="1" s="1"/>
  <c r="M13" i="2"/>
  <c r="L13" i="2"/>
  <c r="J13" i="2"/>
  <c r="I13" i="2"/>
  <c r="H13" i="2"/>
  <c r="M12" i="2"/>
  <c r="L12" i="2"/>
  <c r="J12" i="2"/>
  <c r="I12" i="2"/>
  <c r="H12" i="2"/>
  <c r="M11" i="2"/>
  <c r="L11" i="2"/>
  <c r="J11" i="2"/>
  <c r="I11" i="2"/>
  <c r="H11" i="2"/>
  <c r="M10" i="2"/>
  <c r="L10" i="2"/>
  <c r="J10" i="2"/>
  <c r="I10" i="2"/>
  <c r="H10" i="2"/>
  <c r="J13" i="1" s="1"/>
  <c r="M9" i="2"/>
  <c r="L9" i="2"/>
  <c r="J9" i="2"/>
  <c r="I9" i="2"/>
  <c r="H9" i="2"/>
  <c r="J12" i="1" s="1"/>
  <c r="M8" i="2"/>
  <c r="L8" i="2"/>
  <c r="J8" i="2"/>
  <c r="I8" i="2"/>
  <c r="H8" i="2"/>
  <c r="M7" i="2"/>
  <c r="L7" i="2"/>
  <c r="J7" i="2"/>
  <c r="I7" i="2"/>
  <c r="H7" i="2"/>
  <c r="M6" i="2"/>
  <c r="L6" i="2"/>
  <c r="J6" i="2"/>
  <c r="J64" i="2" s="1"/>
  <c r="I6" i="2"/>
  <c r="H6" i="2"/>
  <c r="J9" i="1" s="1"/>
  <c r="J2" i="2"/>
  <c r="H3" i="4" s="1"/>
  <c r="E149" i="1"/>
  <c r="J148" i="1"/>
  <c r="C148" i="1"/>
  <c r="J147" i="1"/>
  <c r="C147" i="1"/>
  <c r="J146" i="1"/>
  <c r="C146" i="1"/>
  <c r="J145" i="1"/>
  <c r="C145" i="1"/>
  <c r="J144" i="1"/>
  <c r="C144" i="1"/>
  <c r="J143" i="1"/>
  <c r="C143" i="1"/>
  <c r="A143" i="1"/>
  <c r="J142" i="1"/>
  <c r="C142" i="1"/>
  <c r="C141" i="1"/>
  <c r="C140" i="1"/>
  <c r="J139" i="1"/>
  <c r="C139" i="1"/>
  <c r="J138" i="1"/>
  <c r="C138" i="1"/>
  <c r="C137" i="1"/>
  <c r="A137" i="1"/>
  <c r="H136" i="1"/>
  <c r="G136" i="1"/>
  <c r="G135" i="1"/>
  <c r="F135" i="1"/>
  <c r="H135" i="1" s="1"/>
  <c r="R134" i="1"/>
  <c r="D134" i="1"/>
  <c r="G134" i="1" s="1"/>
  <c r="R133" i="1"/>
  <c r="G133" i="1"/>
  <c r="F133" i="1"/>
  <c r="R132" i="1"/>
  <c r="G132" i="1"/>
  <c r="F132" i="1"/>
  <c r="H132" i="1" s="1"/>
  <c r="D131" i="1"/>
  <c r="F131" i="1" s="1"/>
  <c r="G130" i="1"/>
  <c r="F130" i="1"/>
  <c r="D129" i="1"/>
  <c r="G129" i="1" s="1"/>
  <c r="D128" i="1"/>
  <c r="G128" i="1" s="1"/>
  <c r="E122" i="1"/>
  <c r="N121" i="1"/>
  <c r="D121" i="1" s="1"/>
  <c r="J121" i="1"/>
  <c r="N120" i="1"/>
  <c r="J120" i="1"/>
  <c r="N119" i="1"/>
  <c r="D119" i="1" s="1"/>
  <c r="J119" i="1"/>
  <c r="N118" i="1"/>
  <c r="J118" i="1"/>
  <c r="N117" i="1"/>
  <c r="J117" i="1"/>
  <c r="N116" i="1"/>
  <c r="J116" i="1"/>
  <c r="J113" i="1"/>
  <c r="J112" i="1"/>
  <c r="J111" i="1"/>
  <c r="E107" i="1"/>
  <c r="J106" i="1"/>
  <c r="J105" i="1"/>
  <c r="J104" i="1"/>
  <c r="J103" i="1"/>
  <c r="J102" i="1"/>
  <c r="J101" i="1"/>
  <c r="J99" i="1"/>
  <c r="R98" i="1"/>
  <c r="J98" i="1"/>
  <c r="R97" i="1"/>
  <c r="J97" i="1"/>
  <c r="E92" i="1"/>
  <c r="H91" i="1"/>
  <c r="D91" i="1"/>
  <c r="G91" i="1" s="1"/>
  <c r="H90" i="1"/>
  <c r="D90" i="1"/>
  <c r="G90" i="1" s="1"/>
  <c r="H89" i="1"/>
  <c r="D89" i="1"/>
  <c r="G89" i="1" s="1"/>
  <c r="I89" i="1" s="1"/>
  <c r="C88" i="1"/>
  <c r="J87" i="1"/>
  <c r="C87" i="1"/>
  <c r="C86" i="1"/>
  <c r="J85" i="1"/>
  <c r="C85" i="1"/>
  <c r="C84" i="1"/>
  <c r="J83" i="1"/>
  <c r="C83" i="1"/>
  <c r="R82" i="1"/>
  <c r="R159" i="1" s="1"/>
  <c r="C82" i="1"/>
  <c r="R81" i="1"/>
  <c r="R158" i="1" s="1"/>
  <c r="J81" i="1"/>
  <c r="C81" i="1"/>
  <c r="R80" i="1"/>
  <c r="J80" i="1"/>
  <c r="C80" i="1"/>
  <c r="J79" i="1"/>
  <c r="H79" i="1"/>
  <c r="C79" i="1"/>
  <c r="E76" i="1"/>
  <c r="J75" i="1"/>
  <c r="J74" i="1"/>
  <c r="J72" i="1"/>
  <c r="J69" i="1"/>
  <c r="J68" i="1"/>
  <c r="J67" i="1"/>
  <c r="J65" i="1"/>
  <c r="R64" i="1"/>
  <c r="R157" i="1" s="1"/>
  <c r="J64" i="1"/>
  <c r="C64" i="1"/>
  <c r="C63" i="1"/>
  <c r="J62" i="1"/>
  <c r="C62" i="1"/>
  <c r="C61" i="1"/>
  <c r="C60" i="1"/>
  <c r="J59" i="1"/>
  <c r="C59" i="1"/>
  <c r="J58" i="1"/>
  <c r="C58" i="1"/>
  <c r="E55" i="1"/>
  <c r="J50" i="1"/>
  <c r="J47" i="1"/>
  <c r="J45" i="1"/>
  <c r="J44" i="1"/>
  <c r="Q37" i="1"/>
  <c r="Q39" i="1" s="1"/>
  <c r="J36" i="1"/>
  <c r="J35" i="1"/>
  <c r="J34" i="1"/>
  <c r="D33" i="1"/>
  <c r="F33" i="1" s="1"/>
  <c r="J32" i="1"/>
  <c r="J30" i="1"/>
  <c r="J27" i="1"/>
  <c r="J25" i="1"/>
  <c r="J22" i="1"/>
  <c r="C22" i="1"/>
  <c r="J21" i="1"/>
  <c r="C21" i="1"/>
  <c r="J20" i="1"/>
  <c r="C20" i="1"/>
  <c r="C19" i="1"/>
  <c r="J18" i="1"/>
  <c r="C18" i="1"/>
  <c r="C17" i="1"/>
  <c r="J16" i="1"/>
  <c r="C16" i="1"/>
  <c r="J15" i="1"/>
  <c r="C15" i="1"/>
  <c r="J14" i="1"/>
  <c r="C14" i="1"/>
  <c r="C13" i="1"/>
  <c r="C12" i="1"/>
  <c r="J11" i="1"/>
  <c r="C11" i="1"/>
  <c r="J10" i="1"/>
  <c r="C10" i="1"/>
  <c r="C9" i="1"/>
  <c r="C7" i="1"/>
  <c r="R2" i="1"/>
  <c r="Q2" i="1"/>
  <c r="O2" i="1"/>
  <c r="N2" i="1"/>
  <c r="J5" i="3" s="1"/>
  <c r="H37" i="2" l="1"/>
  <c r="J40" i="1" s="1"/>
  <c r="J33" i="1"/>
  <c r="J141" i="1"/>
  <c r="O7" i="2"/>
  <c r="D10" i="1" s="1"/>
  <c r="F10" i="1" s="1"/>
  <c r="H10" i="1" s="1"/>
  <c r="O19" i="2"/>
  <c r="D22" i="1" s="1"/>
  <c r="G22" i="1" s="1"/>
  <c r="O23" i="2"/>
  <c r="D26" i="1" s="1"/>
  <c r="E28" i="2"/>
  <c r="J28" i="2" s="1"/>
  <c r="O32" i="2"/>
  <c r="D35" i="1" s="1"/>
  <c r="F35" i="1" s="1"/>
  <c r="O42" i="2"/>
  <c r="D45" i="1" s="1"/>
  <c r="L56" i="2"/>
  <c r="D98" i="1" s="1"/>
  <c r="G98" i="1" s="1"/>
  <c r="U59" i="2"/>
  <c r="K15" i="3"/>
  <c r="J110" i="1"/>
  <c r="O12" i="2"/>
  <c r="D15" i="1" s="1"/>
  <c r="F15" i="1" s="1"/>
  <c r="I28" i="2"/>
  <c r="U53" i="2"/>
  <c r="F21" i="3"/>
  <c r="C20" i="3" s="1"/>
  <c r="G26" i="3" s="1"/>
  <c r="G35" i="4"/>
  <c r="J114" i="1"/>
  <c r="O8" i="2"/>
  <c r="D11" i="1" s="1"/>
  <c r="F11" i="1" s="1"/>
  <c r="H11" i="1" s="1"/>
  <c r="H20" i="2"/>
  <c r="J23" i="1" s="1"/>
  <c r="U58" i="2"/>
  <c r="L62" i="2"/>
  <c r="M62" i="2" s="1"/>
  <c r="L68" i="2"/>
  <c r="D112" i="1" s="1"/>
  <c r="G112" i="1" s="1"/>
  <c r="J6" i="4"/>
  <c r="G36" i="4"/>
  <c r="J95" i="1"/>
  <c r="O20" i="2"/>
  <c r="D23" i="1" s="1"/>
  <c r="G23" i="1" s="1"/>
  <c r="T22" i="2"/>
  <c r="D36" i="2"/>
  <c r="O47" i="2"/>
  <c r="D50" i="1" s="1"/>
  <c r="G50" i="1" s="1"/>
  <c r="V58" i="2"/>
  <c r="K17" i="4"/>
  <c r="AA37" i="2"/>
  <c r="J100" i="1"/>
  <c r="J107" i="1" s="1"/>
  <c r="H50" i="2"/>
  <c r="J53" i="1" s="1"/>
  <c r="U56" i="2"/>
  <c r="AA28" i="2"/>
  <c r="O31" i="2"/>
  <c r="D34" i="1" s="1"/>
  <c r="F34" i="1" s="1"/>
  <c r="O41" i="2"/>
  <c r="D44" i="1" s="1"/>
  <c r="F44" i="1" s="1"/>
  <c r="H44" i="1" s="1"/>
  <c r="O44" i="2"/>
  <c r="D47" i="1" s="1"/>
  <c r="F47" i="1" s="1"/>
  <c r="H47" i="1" s="1"/>
  <c r="K13" i="3"/>
  <c r="H53" i="3"/>
  <c r="T30" i="2"/>
  <c r="V53" i="2"/>
  <c r="J26" i="1"/>
  <c r="O11" i="2"/>
  <c r="D14" i="1" s="1"/>
  <c r="F14" i="1" s="1"/>
  <c r="L55" i="2"/>
  <c r="M55" i="2" s="1"/>
  <c r="L59" i="2"/>
  <c r="N59" i="2" s="1"/>
  <c r="F101" i="1" s="1"/>
  <c r="H101" i="1" s="1"/>
  <c r="G53" i="3"/>
  <c r="G38" i="4"/>
  <c r="U62" i="2"/>
  <c r="K13" i="4"/>
  <c r="J18" i="4"/>
  <c r="J23" i="4"/>
  <c r="G39" i="4"/>
  <c r="G62" i="4"/>
  <c r="H62" i="4" s="1"/>
  <c r="G41" i="4"/>
  <c r="H18" i="1"/>
  <c r="H33" i="1"/>
  <c r="F129" i="1"/>
  <c r="F134" i="1"/>
  <c r="H134" i="1" s="1"/>
  <c r="I134" i="1" s="1"/>
  <c r="G18" i="1"/>
  <c r="M69" i="2"/>
  <c r="N69" i="2"/>
  <c r="G33" i="1"/>
  <c r="O39" i="2"/>
  <c r="D42" i="1" s="1"/>
  <c r="G42" i="1" s="1"/>
  <c r="N55" i="2"/>
  <c r="F97" i="1" s="1"/>
  <c r="H97" i="1" s="1"/>
  <c r="G45" i="1"/>
  <c r="F45" i="1"/>
  <c r="N62" i="2"/>
  <c r="D104" i="1"/>
  <c r="M71" i="2"/>
  <c r="H115" i="1" s="1"/>
  <c r="N71" i="2"/>
  <c r="F28" i="1"/>
  <c r="G28" i="1"/>
  <c r="G26" i="1"/>
  <c r="F26" i="1"/>
  <c r="F43" i="1"/>
  <c r="G43" i="1"/>
  <c r="F24" i="1"/>
  <c r="G24" i="1"/>
  <c r="G131" i="1"/>
  <c r="L53" i="2"/>
  <c r="N53" i="2" s="1"/>
  <c r="D111" i="1"/>
  <c r="L58" i="2"/>
  <c r="D100" i="1" s="1"/>
  <c r="G100" i="1" s="1"/>
  <c r="F128" i="1"/>
  <c r="D137" i="1"/>
  <c r="G137" i="1" s="1"/>
  <c r="F110" i="1"/>
  <c r="M67" i="2"/>
  <c r="L64" i="2"/>
  <c r="D106" i="1" s="1"/>
  <c r="G106" i="1" s="1"/>
  <c r="O38" i="2"/>
  <c r="D41" i="1" s="1"/>
  <c r="L54" i="2"/>
  <c r="D96" i="1" s="1"/>
  <c r="O29" i="2"/>
  <c r="D32" i="1" s="1"/>
  <c r="O27" i="2"/>
  <c r="D30" i="1" s="1"/>
  <c r="G30" i="1" s="1"/>
  <c r="L61" i="2"/>
  <c r="D103" i="1" s="1"/>
  <c r="D113" i="1"/>
  <c r="D114" i="1"/>
  <c r="F114" i="1" s="1"/>
  <c r="I91" i="1"/>
  <c r="I132" i="1"/>
  <c r="G121" i="1"/>
  <c r="D148" i="1"/>
  <c r="F148" i="1" s="1"/>
  <c r="H148" i="1" s="1"/>
  <c r="F121" i="1"/>
  <c r="H121" i="1" s="1"/>
  <c r="I121" i="1" s="1"/>
  <c r="D116" i="1"/>
  <c r="G119" i="1"/>
  <c r="D146" i="1"/>
  <c r="H146" i="1" s="1"/>
  <c r="F119" i="1"/>
  <c r="H119" i="1" s="1"/>
  <c r="D118" i="1"/>
  <c r="D117" i="1"/>
  <c r="D120" i="1"/>
  <c r="H133" i="1"/>
  <c r="I133" i="1" s="1"/>
  <c r="H130" i="1"/>
  <c r="I130" i="1" s="1"/>
  <c r="H131" i="1"/>
  <c r="I136" i="1"/>
  <c r="I90" i="1"/>
  <c r="G11" i="1"/>
  <c r="G38" i="1"/>
  <c r="F38" i="1"/>
  <c r="J122" i="1"/>
  <c r="I135" i="1"/>
  <c r="G37" i="1"/>
  <c r="F37" i="1"/>
  <c r="J12" i="3"/>
  <c r="J9" i="3"/>
  <c r="J6" i="3"/>
  <c r="J13" i="3"/>
  <c r="J14" i="3"/>
  <c r="J7" i="3"/>
  <c r="J15" i="3"/>
  <c r="J11" i="3"/>
  <c r="J8" i="3"/>
  <c r="J10" i="3"/>
  <c r="G15" i="1"/>
  <c r="H15" i="1"/>
  <c r="D142" i="1"/>
  <c r="G142" i="1" s="1"/>
  <c r="I142" i="1" s="1"/>
  <c r="G115" i="1"/>
  <c r="J149" i="1"/>
  <c r="G40" i="1"/>
  <c r="H40" i="1"/>
  <c r="U54" i="2"/>
  <c r="C47" i="4"/>
  <c r="G51" i="4" s="1"/>
  <c r="G52" i="4" s="1"/>
  <c r="O13" i="2"/>
  <c r="D16" i="1" s="1"/>
  <c r="F16" i="1" s="1"/>
  <c r="O22" i="2"/>
  <c r="D25" i="1" s="1"/>
  <c r="N56" i="2"/>
  <c r="N66" i="2"/>
  <c r="M66" i="2"/>
  <c r="C19" i="3"/>
  <c r="F26" i="3" s="1"/>
  <c r="F29" i="3" s="1"/>
  <c r="L5" i="4"/>
  <c r="L9" i="4" s="1"/>
  <c r="L5" i="3"/>
  <c r="G110" i="1"/>
  <c r="O6" i="2"/>
  <c r="D9" i="1" s="1"/>
  <c r="F9" i="1" s="1"/>
  <c r="O18" i="2"/>
  <c r="D21" i="1" s="1"/>
  <c r="U23" i="2"/>
  <c r="W23" i="2" s="1"/>
  <c r="F23" i="1"/>
  <c r="F29" i="1"/>
  <c r="O16" i="2"/>
  <c r="D19" i="1" s="1"/>
  <c r="L57" i="2"/>
  <c r="H36" i="4"/>
  <c r="M5" i="4"/>
  <c r="M5" i="3"/>
  <c r="D105" i="1"/>
  <c r="G105" i="1" s="1"/>
  <c r="O9" i="2"/>
  <c r="D12" i="1" s="1"/>
  <c r="F100" i="2"/>
  <c r="C99" i="2" s="1"/>
  <c r="G103" i="2" s="1"/>
  <c r="O14" i="2"/>
  <c r="D17" i="1" s="1"/>
  <c r="F17" i="1" s="1"/>
  <c r="O24" i="2"/>
  <c r="D27" i="1" s="1"/>
  <c r="V64" i="2"/>
  <c r="L60" i="2"/>
  <c r="N70" i="2"/>
  <c r="M70" i="2"/>
  <c r="F56" i="4"/>
  <c r="F40" i="4"/>
  <c r="H40" i="4" s="1"/>
  <c r="F37" i="4"/>
  <c r="F41" i="4"/>
  <c r="F38" i="4"/>
  <c r="F35" i="4"/>
  <c r="H35" i="4" s="1"/>
  <c r="F39" i="4"/>
  <c r="H45" i="2"/>
  <c r="J48" i="1" s="1"/>
  <c r="D48" i="2"/>
  <c r="AA45" i="2"/>
  <c r="I45" i="2"/>
  <c r="O45" i="2" s="1"/>
  <c r="D48" i="1" s="1"/>
  <c r="V54" i="2"/>
  <c r="T54" i="2"/>
  <c r="T64" i="2" s="1"/>
  <c r="O17" i="2"/>
  <c r="D20" i="1" s="1"/>
  <c r="O33" i="2"/>
  <c r="D36" i="1" s="1"/>
  <c r="M68" i="2"/>
  <c r="O10" i="2"/>
  <c r="D13" i="1" s="1"/>
  <c r="N63" i="2"/>
  <c r="F48" i="4"/>
  <c r="C46" i="4"/>
  <c r="F51" i="4" s="1"/>
  <c r="F53" i="4" s="1"/>
  <c r="H3" i="3"/>
  <c r="T57" i="2"/>
  <c r="T60" i="2"/>
  <c r="T63" i="2"/>
  <c r="H15" i="3"/>
  <c r="J88" i="1" s="1"/>
  <c r="F40" i="3"/>
  <c r="C39" i="3" s="1"/>
  <c r="G43" i="3" s="1"/>
  <c r="F55" i="3"/>
  <c r="H55" i="3" s="1"/>
  <c r="H9" i="4"/>
  <c r="J61" i="1" s="1"/>
  <c r="J16" i="4"/>
  <c r="K20" i="4"/>
  <c r="K23" i="4"/>
  <c r="F55" i="4"/>
  <c r="F61" i="4"/>
  <c r="H61" i="4" s="1"/>
  <c r="T24" i="2"/>
  <c r="AA47" i="2"/>
  <c r="U57" i="2"/>
  <c r="U60" i="2"/>
  <c r="U63" i="2"/>
  <c r="L8" i="3"/>
  <c r="K16" i="4"/>
  <c r="J9" i="4"/>
  <c r="J12" i="4"/>
  <c r="J15" i="4"/>
  <c r="H8" i="4"/>
  <c r="J60" i="1" s="1"/>
  <c r="K15" i="4"/>
  <c r="J19" i="4"/>
  <c r="J22" i="4"/>
  <c r="H13" i="3"/>
  <c r="J86" i="1" s="1"/>
  <c r="K19" i="4"/>
  <c r="K22" i="4"/>
  <c r="I50" i="2"/>
  <c r="O50" i="2" s="1"/>
  <c r="D53" i="1" s="1"/>
  <c r="T55" i="2"/>
  <c r="J11" i="4"/>
  <c r="J14" i="4"/>
  <c r="U55" i="2"/>
  <c r="K14" i="4"/>
  <c r="T56" i="2"/>
  <c r="T59" i="2"/>
  <c r="T62" i="2"/>
  <c r="F54" i="3"/>
  <c r="H54" i="3" s="1"/>
  <c r="J7" i="4"/>
  <c r="K18" i="4"/>
  <c r="F54" i="4"/>
  <c r="F57" i="4"/>
  <c r="F63" i="4"/>
  <c r="H63" i="4" s="1"/>
  <c r="J10" i="4"/>
  <c r="J13" i="4"/>
  <c r="G37" i="4"/>
  <c r="G10" i="1" l="1"/>
  <c r="G47" i="1"/>
  <c r="N68" i="2"/>
  <c r="M59" i="2"/>
  <c r="D101" i="1"/>
  <c r="D97" i="1"/>
  <c r="F22" i="1"/>
  <c r="F112" i="1"/>
  <c r="G34" i="1"/>
  <c r="G44" i="1"/>
  <c r="I44" i="1" s="1"/>
  <c r="M56" i="2"/>
  <c r="D139" i="1"/>
  <c r="G139" i="1" s="1"/>
  <c r="G31" i="3"/>
  <c r="G29" i="3"/>
  <c r="H29" i="3" s="1"/>
  <c r="G28" i="3"/>
  <c r="G30" i="3"/>
  <c r="G32" i="3"/>
  <c r="G33" i="3"/>
  <c r="G27" i="3"/>
  <c r="G12" i="1"/>
  <c r="F12" i="1"/>
  <c r="H12" i="1" s="1"/>
  <c r="F50" i="1"/>
  <c r="H50" i="1" s="1"/>
  <c r="I50" i="1" s="1"/>
  <c r="I119" i="1"/>
  <c r="G103" i="1"/>
  <c r="I103" i="1" s="1"/>
  <c r="G104" i="1"/>
  <c r="W30" i="2"/>
  <c r="V30" i="2"/>
  <c r="F104" i="1"/>
  <c r="H104" i="1" s="1"/>
  <c r="I104" i="1" s="1"/>
  <c r="G32" i="1"/>
  <c r="F32" i="1"/>
  <c r="H32" i="1" s="1"/>
  <c r="F95" i="1"/>
  <c r="H95" i="1" s="1"/>
  <c r="I36" i="2"/>
  <c r="E36" i="2"/>
  <c r="D43" i="2"/>
  <c r="AA36" i="2"/>
  <c r="G96" i="1"/>
  <c r="W22" i="2"/>
  <c r="V22" i="2"/>
  <c r="G13" i="1"/>
  <c r="F13" i="1"/>
  <c r="H13" i="1" s="1"/>
  <c r="C98" i="2"/>
  <c r="F103" i="2" s="1"/>
  <c r="F114" i="2" s="1"/>
  <c r="G57" i="4"/>
  <c r="H57" i="4" s="1"/>
  <c r="H39" i="4"/>
  <c r="O28" i="2"/>
  <c r="D31" i="1" s="1"/>
  <c r="G35" i="1"/>
  <c r="G101" i="1"/>
  <c r="I101" i="1" s="1"/>
  <c r="G97" i="1"/>
  <c r="I97" i="1" s="1"/>
  <c r="L8" i="4"/>
  <c r="F105" i="1"/>
  <c r="H105" i="1" s="1"/>
  <c r="I105" i="1" s="1"/>
  <c r="H38" i="4"/>
  <c r="C38" i="3"/>
  <c r="F43" i="3" s="1"/>
  <c r="F98" i="1"/>
  <c r="H98" i="1" s="1"/>
  <c r="I98" i="1" s="1"/>
  <c r="V23" i="2"/>
  <c r="X23" i="2" s="1"/>
  <c r="H41" i="4"/>
  <c r="G148" i="1"/>
  <c r="I148" i="1" s="1"/>
  <c r="G14" i="1"/>
  <c r="H28" i="2"/>
  <c r="J31" i="1" s="1"/>
  <c r="I18" i="1"/>
  <c r="I47" i="1"/>
  <c r="D95" i="1"/>
  <c r="H129" i="1"/>
  <c r="I129" i="1" s="1"/>
  <c r="H28" i="1"/>
  <c r="I28" i="1" s="1"/>
  <c r="I33" i="1"/>
  <c r="H43" i="1"/>
  <c r="I43" i="1" s="1"/>
  <c r="H29" i="1"/>
  <c r="I29" i="1" s="1"/>
  <c r="H37" i="1"/>
  <c r="H34" i="1"/>
  <c r="H45" i="1"/>
  <c r="I45" i="1" s="1"/>
  <c r="H23" i="1"/>
  <c r="I23" i="1" s="1"/>
  <c r="H35" i="1"/>
  <c r="H14" i="1"/>
  <c r="I14" i="1" s="1"/>
  <c r="H22" i="1"/>
  <c r="I22" i="1" s="1"/>
  <c r="H128" i="1"/>
  <c r="I128" i="1" s="1"/>
  <c r="H24" i="1"/>
  <c r="I24" i="1" s="1"/>
  <c r="F30" i="1"/>
  <c r="H26" i="1"/>
  <c r="I26" i="1" s="1"/>
  <c r="N54" i="2"/>
  <c r="F96" i="1" s="1"/>
  <c r="H96" i="1" s="1"/>
  <c r="F42" i="1"/>
  <c r="N58" i="2"/>
  <c r="I34" i="1"/>
  <c r="G114" i="1"/>
  <c r="D141" i="1"/>
  <c r="G141" i="1" s="1"/>
  <c r="M64" i="2"/>
  <c r="N64" i="2"/>
  <c r="F106" i="1" s="1"/>
  <c r="M61" i="2"/>
  <c r="N61" i="2"/>
  <c r="F103" i="1" s="1"/>
  <c r="H103" i="1" s="1"/>
  <c r="D138" i="1"/>
  <c r="G138" i="1" s="1"/>
  <c r="F111" i="1"/>
  <c r="F138" i="1" s="1"/>
  <c r="H138" i="1" s="1"/>
  <c r="G111" i="1"/>
  <c r="I115" i="1"/>
  <c r="G16" i="1"/>
  <c r="M53" i="2"/>
  <c r="F41" i="1"/>
  <c r="G41" i="1"/>
  <c r="F113" i="1"/>
  <c r="D140" i="1"/>
  <c r="G140" i="1" s="1"/>
  <c r="G113" i="1"/>
  <c r="I131" i="1"/>
  <c r="M54" i="2"/>
  <c r="M58" i="2"/>
  <c r="H38" i="1"/>
  <c r="I38" i="1" s="1"/>
  <c r="I40" i="1"/>
  <c r="J92" i="1"/>
  <c r="G120" i="1"/>
  <c r="I120" i="1" s="1"/>
  <c r="F120" i="1"/>
  <c r="H120" i="1" s="1"/>
  <c r="D147" i="1"/>
  <c r="G117" i="1"/>
  <c r="F117" i="1"/>
  <c r="H117" i="1" s="1"/>
  <c r="D144" i="1"/>
  <c r="G146" i="1"/>
  <c r="G116" i="1"/>
  <c r="D143" i="1"/>
  <c r="F116" i="1"/>
  <c r="H116" i="1" s="1"/>
  <c r="G118" i="1"/>
  <c r="F118" i="1"/>
  <c r="H118" i="1" s="1"/>
  <c r="D145" i="1"/>
  <c r="H145" i="1" s="1"/>
  <c r="I11" i="1"/>
  <c r="N8" i="4"/>
  <c r="N16" i="4"/>
  <c r="G47" i="3"/>
  <c r="G44" i="3"/>
  <c r="G48" i="3"/>
  <c r="G46" i="3"/>
  <c r="G49" i="3"/>
  <c r="G45" i="3"/>
  <c r="G111" i="2"/>
  <c r="G118" i="2"/>
  <c r="G113" i="2"/>
  <c r="G115" i="2"/>
  <c r="G117" i="2"/>
  <c r="G105" i="2"/>
  <c r="G112" i="2"/>
  <c r="G110" i="2"/>
  <c r="G106" i="2"/>
  <c r="G109" i="2"/>
  <c r="G114" i="2"/>
  <c r="H114" i="2" s="1"/>
  <c r="G107" i="2"/>
  <c r="G116" i="2"/>
  <c r="G108" i="2"/>
  <c r="G104" i="2"/>
  <c r="F21" i="1"/>
  <c r="G21" i="1"/>
  <c r="G53" i="1"/>
  <c r="F53" i="1"/>
  <c r="M7" i="4"/>
  <c r="M21" i="4"/>
  <c r="N21" i="4" s="1"/>
  <c r="M18" i="4"/>
  <c r="N18" i="4" s="1"/>
  <c r="M14" i="4"/>
  <c r="M11" i="4"/>
  <c r="M8" i="4"/>
  <c r="M9" i="4"/>
  <c r="N9" i="4" s="1"/>
  <c r="M16" i="4"/>
  <c r="M6" i="4"/>
  <c r="M23" i="4"/>
  <c r="N23" i="4" s="1"/>
  <c r="M20" i="4"/>
  <c r="N20" i="4" s="1"/>
  <c r="M17" i="4"/>
  <c r="M13" i="4"/>
  <c r="M10" i="4"/>
  <c r="M19" i="4"/>
  <c r="N19" i="4" s="1"/>
  <c r="M15" i="4"/>
  <c r="M22" i="4"/>
  <c r="N22" i="4" s="1"/>
  <c r="H9" i="1"/>
  <c r="G9" i="1"/>
  <c r="G25" i="1"/>
  <c r="F25" i="1"/>
  <c r="G27" i="1"/>
  <c r="F27" i="1"/>
  <c r="G54" i="4"/>
  <c r="H54" i="4" s="1"/>
  <c r="G36" i="1"/>
  <c r="F36" i="1"/>
  <c r="F52" i="4"/>
  <c r="H52" i="4" s="1"/>
  <c r="L12" i="3"/>
  <c r="L9" i="3"/>
  <c r="N9" i="3" s="1"/>
  <c r="L13" i="3"/>
  <c r="L6" i="3"/>
  <c r="L14" i="3"/>
  <c r="L10" i="3"/>
  <c r="L15" i="3"/>
  <c r="L7" i="3"/>
  <c r="L11" i="3"/>
  <c r="N11" i="3" s="1"/>
  <c r="G56" i="4"/>
  <c r="H56" i="4" s="1"/>
  <c r="G53" i="4"/>
  <c r="H53" i="4" s="1"/>
  <c r="I10" i="1"/>
  <c r="F32" i="3"/>
  <c r="H32" i="3" s="1"/>
  <c r="G55" i="4"/>
  <c r="H55" i="4" s="1"/>
  <c r="L7" i="4"/>
  <c r="L14" i="4"/>
  <c r="N14" i="4" s="1"/>
  <c r="D66" i="1" s="1"/>
  <c r="L11" i="4"/>
  <c r="N11" i="4" s="1"/>
  <c r="L15" i="4"/>
  <c r="N15" i="4" s="1"/>
  <c r="L12" i="4"/>
  <c r="N12" i="4" s="1"/>
  <c r="L16" i="4"/>
  <c r="L6" i="4"/>
  <c r="L17" i="4"/>
  <c r="L13" i="4"/>
  <c r="L10" i="4"/>
  <c r="N10" i="4" s="1"/>
  <c r="U64" i="2"/>
  <c r="F106" i="2"/>
  <c r="F117" i="2"/>
  <c r="F105" i="2"/>
  <c r="H105" i="2" s="1"/>
  <c r="F107" i="2"/>
  <c r="H107" i="2" s="1"/>
  <c r="F109" i="2"/>
  <c r="F115" i="2"/>
  <c r="F111" i="2"/>
  <c r="H111" i="2" s="1"/>
  <c r="H17" i="1"/>
  <c r="G17" i="1"/>
  <c r="G20" i="1"/>
  <c r="F20" i="1"/>
  <c r="F118" i="2"/>
  <c r="H118" i="2" s="1"/>
  <c r="F104" i="2"/>
  <c r="I37" i="1"/>
  <c r="H37" i="4"/>
  <c r="M57" i="2"/>
  <c r="N57" i="2"/>
  <c r="F99" i="1" s="1"/>
  <c r="H99" i="1" s="1"/>
  <c r="D99" i="1"/>
  <c r="W24" i="2"/>
  <c r="V24" i="2"/>
  <c r="M13" i="3"/>
  <c r="M6" i="3"/>
  <c r="N6" i="3" s="1"/>
  <c r="M14" i="3"/>
  <c r="M10" i="3"/>
  <c r="M11" i="3"/>
  <c r="M8" i="3"/>
  <c r="N8" i="3" s="1"/>
  <c r="M12" i="3"/>
  <c r="M9" i="3"/>
  <c r="M15" i="3"/>
  <c r="M7" i="3"/>
  <c r="H114" i="1"/>
  <c r="F141" i="1"/>
  <c r="H141" i="1" s="1"/>
  <c r="F112" i="2"/>
  <c r="H112" i="2" s="1"/>
  <c r="F116" i="2"/>
  <c r="H116" i="2" s="1"/>
  <c r="G48" i="1"/>
  <c r="F48" i="1"/>
  <c r="F31" i="3"/>
  <c r="H31" i="3" s="1"/>
  <c r="F28" i="3"/>
  <c r="H28" i="3" s="1"/>
  <c r="F33" i="3"/>
  <c r="H33" i="3" s="1"/>
  <c r="F27" i="3"/>
  <c r="H27" i="3" s="1"/>
  <c r="F30" i="3"/>
  <c r="H30" i="3" s="1"/>
  <c r="J76" i="1"/>
  <c r="F110" i="2"/>
  <c r="M60" i="2"/>
  <c r="N60" i="2"/>
  <c r="D102" i="1"/>
  <c r="G102" i="1" s="1"/>
  <c r="F137" i="1"/>
  <c r="H137" i="1" s="1"/>
  <c r="H110" i="1"/>
  <c r="I110" i="1" s="1"/>
  <c r="I15" i="1"/>
  <c r="F139" i="1"/>
  <c r="H139" i="1" s="1"/>
  <c r="H112" i="1"/>
  <c r="I112" i="1" s="1"/>
  <c r="I48" i="2"/>
  <c r="O48" i="2" s="1"/>
  <c r="D51" i="1" s="1"/>
  <c r="H48" i="2"/>
  <c r="J51" i="1" s="1"/>
  <c r="D51" i="2"/>
  <c r="AA48" i="2"/>
  <c r="F113" i="2"/>
  <c r="G19" i="1"/>
  <c r="F19" i="1"/>
  <c r="F108" i="2"/>
  <c r="I139" i="1" l="1"/>
  <c r="I96" i="1"/>
  <c r="H43" i="2"/>
  <c r="J46" i="1" s="1"/>
  <c r="H102" i="1"/>
  <c r="I102" i="1" s="1"/>
  <c r="F102" i="1"/>
  <c r="N14" i="3"/>
  <c r="N13" i="4"/>
  <c r="D65" i="1" s="1"/>
  <c r="G95" i="1"/>
  <c r="G107" i="1" s="1"/>
  <c r="G99" i="1"/>
  <c r="I99" i="1" s="1"/>
  <c r="I35" i="1"/>
  <c r="I13" i="1"/>
  <c r="I32" i="1"/>
  <c r="I12" i="1"/>
  <c r="F49" i="3"/>
  <c r="H49" i="3" s="1"/>
  <c r="F46" i="3"/>
  <c r="H46" i="3" s="1"/>
  <c r="F48" i="3"/>
  <c r="H48" i="3" s="1"/>
  <c r="F47" i="3"/>
  <c r="F45" i="3"/>
  <c r="H45" i="3" s="1"/>
  <c r="F44" i="3"/>
  <c r="H44" i="3" s="1"/>
  <c r="N12" i="3"/>
  <c r="P12" i="3" s="1"/>
  <c r="Q12" i="3" s="1"/>
  <c r="X22" i="2"/>
  <c r="F100" i="1"/>
  <c r="H100" i="1" s="1"/>
  <c r="I100" i="1" s="1"/>
  <c r="X30" i="2"/>
  <c r="D46" i="2"/>
  <c r="I43" i="2"/>
  <c r="AA43" i="2"/>
  <c r="E43" i="2"/>
  <c r="J43" i="2" s="1"/>
  <c r="H110" i="2"/>
  <c r="N7" i="4"/>
  <c r="N15" i="3"/>
  <c r="H47" i="3"/>
  <c r="G31" i="1"/>
  <c r="F31" i="1"/>
  <c r="H31" i="1" s="1"/>
  <c r="J36" i="2"/>
  <c r="O36" i="2" s="1"/>
  <c r="D39" i="1" s="1"/>
  <c r="H36" i="2"/>
  <c r="J39" i="1" s="1"/>
  <c r="H117" i="2"/>
  <c r="N7" i="3"/>
  <c r="H106" i="2"/>
  <c r="W20" i="2"/>
  <c r="N10" i="3"/>
  <c r="P10" i="3" s="1"/>
  <c r="Q10" i="3" s="1"/>
  <c r="I141" i="1"/>
  <c r="I114" i="1"/>
  <c r="I138" i="1"/>
  <c r="H48" i="1"/>
  <c r="I48" i="1" s="1"/>
  <c r="H27" i="1"/>
  <c r="I27" i="1" s="1"/>
  <c r="H25" i="1"/>
  <c r="I25" i="1" s="1"/>
  <c r="H19" i="1"/>
  <c r="I19" i="1" s="1"/>
  <c r="H106" i="1"/>
  <c r="H42" i="1"/>
  <c r="I42" i="1" s="1"/>
  <c r="H41" i="1"/>
  <c r="I41" i="1" s="1"/>
  <c r="H20" i="1"/>
  <c r="H53" i="1"/>
  <c r="I53" i="1" s="1"/>
  <c r="H16" i="1"/>
  <c r="I16" i="1" s="1"/>
  <c r="H30" i="1"/>
  <c r="I30" i="1" s="1"/>
  <c r="H21" i="1"/>
  <c r="I21" i="1" s="1"/>
  <c r="H36" i="1"/>
  <c r="I36" i="1" s="1"/>
  <c r="G122" i="1"/>
  <c r="G66" i="1"/>
  <c r="F66" i="1"/>
  <c r="H66" i="1" s="1"/>
  <c r="G65" i="1"/>
  <c r="F65" i="1"/>
  <c r="H65" i="1" s="1"/>
  <c r="F140" i="1"/>
  <c r="H140" i="1" s="1"/>
  <c r="I140" i="1" s="1"/>
  <c r="H113" i="1"/>
  <c r="I113" i="1" s="1"/>
  <c r="I20" i="1"/>
  <c r="H111" i="1"/>
  <c r="I111" i="1" s="1"/>
  <c r="I146" i="1"/>
  <c r="G145" i="1"/>
  <c r="I145" i="1" s="1"/>
  <c r="I118" i="1"/>
  <c r="H143" i="1"/>
  <c r="G143" i="1"/>
  <c r="I116" i="1"/>
  <c r="I117" i="1"/>
  <c r="H147" i="1"/>
  <c r="G147" i="1"/>
  <c r="H144" i="1"/>
  <c r="G144" i="1"/>
  <c r="P7" i="4"/>
  <c r="Q7" i="4" s="1"/>
  <c r="D59" i="1"/>
  <c r="W21" i="2"/>
  <c r="P22" i="4"/>
  <c r="Q22" i="4" s="1"/>
  <c r="D74" i="1"/>
  <c r="D84" i="1"/>
  <c r="P11" i="3"/>
  <c r="Q11" i="3" s="1"/>
  <c r="P19" i="4"/>
  <c r="Q19" i="4" s="1"/>
  <c r="D71" i="1"/>
  <c r="P7" i="3"/>
  <c r="Q7" i="3" s="1"/>
  <c r="D80" i="1"/>
  <c r="P20" i="4"/>
  <c r="Q20" i="4" s="1"/>
  <c r="D72" i="1"/>
  <c r="P15" i="4"/>
  <c r="Q15" i="4" s="1"/>
  <c r="D67" i="1"/>
  <c r="P9" i="3"/>
  <c r="Q9" i="3" s="1"/>
  <c r="D82" i="1"/>
  <c r="P18" i="4"/>
  <c r="Q18" i="4" s="1"/>
  <c r="D70" i="1"/>
  <c r="H51" i="2"/>
  <c r="J54" i="1" s="1"/>
  <c r="AA51" i="2"/>
  <c r="I51" i="2"/>
  <c r="O51" i="2" s="1"/>
  <c r="D54" i="1" s="1"/>
  <c r="X24" i="2"/>
  <c r="X20" i="2" s="1"/>
  <c r="AB48" i="2" s="1"/>
  <c r="AD48" i="2" s="1"/>
  <c r="P21" i="4"/>
  <c r="Q21" i="4" s="1"/>
  <c r="D73" i="1"/>
  <c r="I137" i="1"/>
  <c r="P8" i="3"/>
  <c r="Q8" i="3" s="1"/>
  <c r="D81" i="1"/>
  <c r="P16" i="4"/>
  <c r="Q16" i="4" s="1"/>
  <c r="D68" i="1"/>
  <c r="P11" i="4"/>
  <c r="Q11" i="4" s="1"/>
  <c r="D63" i="1"/>
  <c r="P15" i="3"/>
  <c r="Q15" i="3" s="1"/>
  <c r="D88" i="1"/>
  <c r="I17" i="1"/>
  <c r="P14" i="3"/>
  <c r="Q14" i="3" s="1"/>
  <c r="D87" i="1"/>
  <c r="P23" i="4"/>
  <c r="Q23" i="4" s="1"/>
  <c r="D75" i="1"/>
  <c r="G51" i="1"/>
  <c r="F51" i="1"/>
  <c r="P9" i="4"/>
  <c r="Q9" i="4" s="1"/>
  <c r="D61" i="1"/>
  <c r="H108" i="2"/>
  <c r="I9" i="1"/>
  <c r="P6" i="3"/>
  <c r="Q6" i="3" s="1"/>
  <c r="D79" i="1"/>
  <c r="G79" i="1" s="1"/>
  <c r="N13" i="3"/>
  <c r="P8" i="4"/>
  <c r="Q8" i="4" s="1"/>
  <c r="D60" i="1"/>
  <c r="N6" i="4"/>
  <c r="H115" i="2"/>
  <c r="P10" i="4"/>
  <c r="Q10" i="4" s="1"/>
  <c r="D62" i="1"/>
  <c r="N17" i="4"/>
  <c r="H109" i="2"/>
  <c r="P12" i="4"/>
  <c r="Q12" i="4" s="1"/>
  <c r="D64" i="1"/>
  <c r="H113" i="2"/>
  <c r="H104" i="2"/>
  <c r="I95" i="1" l="1"/>
  <c r="F39" i="1"/>
  <c r="H39" i="1" s="1"/>
  <c r="I39" i="1" s="1"/>
  <c r="G39" i="1"/>
  <c r="G149" i="1"/>
  <c r="I31" i="1"/>
  <c r="D83" i="1"/>
  <c r="D85" i="1"/>
  <c r="H46" i="2"/>
  <c r="J49" i="1" s="1"/>
  <c r="D49" i="2"/>
  <c r="I46" i="2"/>
  <c r="O46" i="2" s="1"/>
  <c r="D49" i="1" s="1"/>
  <c r="AA46" i="2"/>
  <c r="AB46" i="2" s="1"/>
  <c r="AD46" i="2" s="1"/>
  <c r="H107" i="1"/>
  <c r="N96" i="1" s="1"/>
  <c r="O43" i="2"/>
  <c r="D46" i="1" s="1"/>
  <c r="H51" i="1"/>
  <c r="I51" i="1" s="1"/>
  <c r="I106" i="1"/>
  <c r="G59" i="1"/>
  <c r="F59" i="1"/>
  <c r="H59" i="1" s="1"/>
  <c r="G64" i="1"/>
  <c r="F64" i="1"/>
  <c r="H64" i="1" s="1"/>
  <c r="G68" i="1"/>
  <c r="F68" i="1"/>
  <c r="H68" i="1" s="1"/>
  <c r="G62" i="1"/>
  <c r="F62" i="1"/>
  <c r="H62" i="1" s="1"/>
  <c r="G73" i="1"/>
  <c r="F73" i="1"/>
  <c r="H73" i="1" s="1"/>
  <c r="G67" i="1"/>
  <c r="F67" i="1"/>
  <c r="H67" i="1" s="1"/>
  <c r="G60" i="1"/>
  <c r="F60" i="1"/>
  <c r="H60" i="1" s="1"/>
  <c r="I66" i="1"/>
  <c r="G63" i="1"/>
  <c r="F63" i="1"/>
  <c r="H63" i="1" s="1"/>
  <c r="G71" i="1"/>
  <c r="F71" i="1"/>
  <c r="H71" i="1" s="1"/>
  <c r="G75" i="1"/>
  <c r="F75" i="1"/>
  <c r="H75" i="1" s="1"/>
  <c r="G70" i="1"/>
  <c r="F70" i="1"/>
  <c r="H70" i="1" s="1"/>
  <c r="G74" i="1"/>
  <c r="F74" i="1"/>
  <c r="H74" i="1" s="1"/>
  <c r="G61" i="1"/>
  <c r="F61" i="1"/>
  <c r="H61" i="1" s="1"/>
  <c r="G72" i="1"/>
  <c r="F72" i="1"/>
  <c r="H72" i="1" s="1"/>
  <c r="I65" i="1"/>
  <c r="G88" i="1"/>
  <c r="F88" i="1"/>
  <c r="H88" i="1" s="1"/>
  <c r="G80" i="1"/>
  <c r="F80" i="1"/>
  <c r="H80" i="1" s="1"/>
  <c r="G87" i="1"/>
  <c r="F87" i="1"/>
  <c r="H87" i="1" s="1"/>
  <c r="G81" i="1"/>
  <c r="F81" i="1"/>
  <c r="H81" i="1" s="1"/>
  <c r="G84" i="1"/>
  <c r="F84" i="1"/>
  <c r="H84" i="1" s="1"/>
  <c r="G82" i="1"/>
  <c r="F82" i="1"/>
  <c r="H82" i="1" s="1"/>
  <c r="G83" i="1"/>
  <c r="F83" i="1"/>
  <c r="H83" i="1" s="1"/>
  <c r="G85" i="1"/>
  <c r="F85" i="1"/>
  <c r="H85" i="1" s="1"/>
  <c r="H149" i="1"/>
  <c r="N129" i="1" s="1"/>
  <c r="H122" i="1"/>
  <c r="I122" i="1" s="1"/>
  <c r="I143" i="1"/>
  <c r="I147" i="1"/>
  <c r="I144" i="1"/>
  <c r="P6" i="4"/>
  <c r="Q6" i="4" s="1"/>
  <c r="D58" i="1"/>
  <c r="P13" i="3"/>
  <c r="Q13" i="3" s="1"/>
  <c r="D86" i="1"/>
  <c r="I79" i="1"/>
  <c r="P17" i="4"/>
  <c r="Q17" i="4" s="1"/>
  <c r="D69" i="1"/>
  <c r="AB64" i="2"/>
  <c r="AD64" i="2" s="1"/>
  <c r="AB61" i="2"/>
  <c r="AD61" i="2" s="1"/>
  <c r="AB58" i="2"/>
  <c r="AD58" i="2" s="1"/>
  <c r="AB54" i="2"/>
  <c r="AD54" i="2" s="1"/>
  <c r="AB63" i="2"/>
  <c r="AD63" i="2" s="1"/>
  <c r="AB60" i="2"/>
  <c r="AD60" i="2" s="1"/>
  <c r="AB57" i="2"/>
  <c r="AD57" i="2" s="1"/>
  <c r="AB52" i="2"/>
  <c r="AD52" i="2" s="1"/>
  <c r="AB38" i="2"/>
  <c r="AD38" i="2" s="1"/>
  <c r="AB33" i="2"/>
  <c r="AD33" i="2" s="1"/>
  <c r="AB26" i="2"/>
  <c r="AD26" i="2" s="1"/>
  <c r="AB39" i="2"/>
  <c r="AD39" i="2" s="1"/>
  <c r="AB34" i="2"/>
  <c r="AD34" i="2" s="1"/>
  <c r="AB22" i="2"/>
  <c r="AD22" i="2" s="1"/>
  <c r="AB62" i="2"/>
  <c r="AD62" i="2" s="1"/>
  <c r="AB59" i="2"/>
  <c r="AD59" i="2" s="1"/>
  <c r="AB56" i="2"/>
  <c r="AD56" i="2" s="1"/>
  <c r="AB37" i="2"/>
  <c r="AD37" i="2" s="1"/>
  <c r="X21" i="2"/>
  <c r="AB55" i="2"/>
  <c r="AD55" i="2" s="1"/>
  <c r="AB40" i="2"/>
  <c r="AD40" i="2" s="1"/>
  <c r="AB25" i="2"/>
  <c r="AD25" i="2" s="1"/>
  <c r="AB30" i="2"/>
  <c r="AD30" i="2" s="1"/>
  <c r="AB41" i="2"/>
  <c r="AD41" i="2" s="1"/>
  <c r="AB53" i="2"/>
  <c r="AD53" i="2" s="1"/>
  <c r="AB44" i="2"/>
  <c r="AD44" i="2" s="1"/>
  <c r="AB32" i="2"/>
  <c r="AD32" i="2" s="1"/>
  <c r="AB31" i="2"/>
  <c r="AD31" i="2" s="1"/>
  <c r="AB24" i="2"/>
  <c r="AD24" i="2" s="1"/>
  <c r="AB50" i="2"/>
  <c r="AD50" i="2" s="1"/>
  <c r="AB36" i="2"/>
  <c r="AD36" i="2" s="1"/>
  <c r="AB42" i="2"/>
  <c r="AD42" i="2" s="1"/>
  <c r="AB28" i="2"/>
  <c r="AD28" i="2" s="1"/>
  <c r="AB23" i="2"/>
  <c r="AD23" i="2" s="1"/>
  <c r="AB29" i="2"/>
  <c r="AD29" i="2" s="1"/>
  <c r="AB47" i="2"/>
  <c r="AD47" i="2" s="1"/>
  <c r="AB45" i="2"/>
  <c r="AD45" i="2" s="1"/>
  <c r="AB43" i="2"/>
  <c r="AD43" i="2" s="1"/>
  <c r="N95" i="1"/>
  <c r="Z20" i="2"/>
  <c r="G54" i="1"/>
  <c r="F54" i="1"/>
  <c r="Z21" i="2"/>
  <c r="AB51" i="2"/>
  <c r="AD51" i="2" s="1"/>
  <c r="AC51" i="2"/>
  <c r="AE51" i="2" s="1"/>
  <c r="J55" i="1" l="1"/>
  <c r="G49" i="1"/>
  <c r="F49" i="1"/>
  <c r="H49" i="1" s="1"/>
  <c r="I49" i="1" s="1"/>
  <c r="AA49" i="2"/>
  <c r="AB49" i="2" s="1"/>
  <c r="AD49" i="2" s="1"/>
  <c r="I49" i="2"/>
  <c r="O49" i="2" s="1"/>
  <c r="D52" i="1" s="1"/>
  <c r="H49" i="2"/>
  <c r="J52" i="1" s="1"/>
  <c r="I83" i="1"/>
  <c r="I88" i="1"/>
  <c r="I107" i="1"/>
  <c r="I74" i="1"/>
  <c r="F46" i="1"/>
  <c r="H46" i="1" s="1"/>
  <c r="G46" i="1"/>
  <c r="H54" i="1"/>
  <c r="I70" i="1"/>
  <c r="G69" i="1"/>
  <c r="F69" i="1"/>
  <c r="H69" i="1" s="1"/>
  <c r="I67" i="1"/>
  <c r="I73" i="1"/>
  <c r="I75" i="1"/>
  <c r="I62" i="1"/>
  <c r="I71" i="1"/>
  <c r="I68" i="1"/>
  <c r="I72" i="1"/>
  <c r="I63" i="1"/>
  <c r="I64" i="1"/>
  <c r="I61" i="1"/>
  <c r="I60" i="1"/>
  <c r="I59" i="1"/>
  <c r="I82" i="1"/>
  <c r="I84" i="1"/>
  <c r="I81" i="1"/>
  <c r="I85" i="1"/>
  <c r="I80" i="1"/>
  <c r="I87" i="1"/>
  <c r="G86" i="1"/>
  <c r="F86" i="1"/>
  <c r="H86" i="1" s="1"/>
  <c r="H92" i="1" s="1"/>
  <c r="N79" i="1" s="1"/>
  <c r="AC55" i="2"/>
  <c r="AE55" i="2" s="1"/>
  <c r="AC64" i="2"/>
  <c r="AE64" i="2" s="1"/>
  <c r="AC61" i="2"/>
  <c r="AE61" i="2" s="1"/>
  <c r="AC58" i="2"/>
  <c r="AE58" i="2" s="1"/>
  <c r="AC54" i="2"/>
  <c r="AE54" i="2" s="1"/>
  <c r="AC53" i="2"/>
  <c r="AE53" i="2" s="1"/>
  <c r="AC37" i="2"/>
  <c r="AE37" i="2" s="1"/>
  <c r="AC32" i="2"/>
  <c r="AE32" i="2" s="1"/>
  <c r="AC63" i="2"/>
  <c r="AE63" i="2" s="1"/>
  <c r="AC60" i="2"/>
  <c r="AE60" i="2" s="1"/>
  <c r="AC57" i="2"/>
  <c r="AE57" i="2" s="1"/>
  <c r="AC52" i="2"/>
  <c r="AE52" i="2" s="1"/>
  <c r="AC38" i="2"/>
  <c r="AE38" i="2" s="1"/>
  <c r="AC33" i="2"/>
  <c r="AE33" i="2" s="1"/>
  <c r="AC26" i="2"/>
  <c r="AE26" i="2" s="1"/>
  <c r="AC62" i="2"/>
  <c r="AE62" i="2" s="1"/>
  <c r="AC59" i="2"/>
  <c r="AE59" i="2" s="1"/>
  <c r="AC56" i="2"/>
  <c r="AE56" i="2" s="1"/>
  <c r="AC23" i="2"/>
  <c r="AE23" i="2" s="1"/>
  <c r="AC28" i="2"/>
  <c r="AE28" i="2" s="1"/>
  <c r="AC44" i="2"/>
  <c r="AE44" i="2" s="1"/>
  <c r="AC50" i="2"/>
  <c r="AE50" i="2" s="1"/>
  <c r="AC36" i="2"/>
  <c r="AE36" i="2" s="1"/>
  <c r="AC25" i="2"/>
  <c r="AE25" i="2" s="1"/>
  <c r="AC22" i="2"/>
  <c r="AE22" i="2" s="1"/>
  <c r="AC40" i="2"/>
  <c r="AE40" i="2" s="1"/>
  <c r="AC31" i="2"/>
  <c r="AE31" i="2" s="1"/>
  <c r="AC39" i="2"/>
  <c r="AE39" i="2" s="1"/>
  <c r="AC41" i="2"/>
  <c r="AE41" i="2" s="1"/>
  <c r="AC42" i="2"/>
  <c r="AE42" i="2" s="1"/>
  <c r="AC24" i="2"/>
  <c r="AE24" i="2" s="1"/>
  <c r="AC34" i="2"/>
  <c r="AE34" i="2" s="1"/>
  <c r="AC30" i="2"/>
  <c r="AE30" i="2" s="1"/>
  <c r="AC29" i="2"/>
  <c r="AE29" i="2" s="1"/>
  <c r="AC43" i="2"/>
  <c r="AE43" i="2" s="1"/>
  <c r="AC47" i="2"/>
  <c r="AE47" i="2" s="1"/>
  <c r="AC45" i="2"/>
  <c r="AE45" i="2" s="1"/>
  <c r="AC49" i="2"/>
  <c r="AE49" i="2" s="1"/>
  <c r="AC46" i="2"/>
  <c r="AE46" i="2" s="1"/>
  <c r="AC48" i="2"/>
  <c r="AE48" i="2" s="1"/>
  <c r="G58" i="1"/>
  <c r="F58" i="1"/>
  <c r="H58" i="1" s="1"/>
  <c r="H76" i="1" s="1"/>
  <c r="N61" i="1" s="1"/>
  <c r="O95" i="1"/>
  <c r="N97" i="1"/>
  <c r="O97" i="1" s="1"/>
  <c r="I46" i="1" l="1"/>
  <c r="I69" i="1"/>
  <c r="G52" i="1"/>
  <c r="F52" i="1"/>
  <c r="H52" i="1" s="1"/>
  <c r="H55" i="1"/>
  <c r="N41" i="1" s="1"/>
  <c r="N155" i="1" s="1"/>
  <c r="I54" i="1"/>
  <c r="I86" i="1"/>
  <c r="G92" i="1"/>
  <c r="O96" i="1"/>
  <c r="G76" i="1"/>
  <c r="I58" i="1"/>
  <c r="N98" i="1"/>
  <c r="I52" i="1" l="1"/>
  <c r="G55" i="1"/>
  <c r="N78" i="1"/>
  <c r="I92" i="1"/>
  <c r="N101" i="1"/>
  <c r="N103" i="1"/>
  <c r="N100" i="1"/>
  <c r="N102" i="1"/>
  <c r="N104" i="1"/>
  <c r="N99" i="1"/>
  <c r="N60" i="1"/>
  <c r="I76" i="1"/>
  <c r="I55" i="1" l="1"/>
  <c r="N40" i="1"/>
  <c r="O78" i="1"/>
  <c r="N80" i="1"/>
  <c r="N168" i="1" a="1"/>
  <c r="N168" i="1" s="1"/>
  <c r="N105" i="1"/>
  <c r="O60" i="1"/>
  <c r="N62" i="1"/>
  <c r="O62" i="1" s="1"/>
  <c r="N42" i="1" l="1"/>
  <c r="O40" i="1"/>
  <c r="O80" i="1"/>
  <c r="O79" i="1" s="1"/>
  <c r="N81" i="1"/>
  <c r="O61" i="1"/>
  <c r="O105" i="1"/>
  <c r="N106" i="1"/>
  <c r="N63" i="1"/>
  <c r="O42" i="1" l="1"/>
  <c r="O41" i="1" s="1"/>
  <c r="N43" i="1"/>
  <c r="N85" i="1"/>
  <c r="N86" i="1"/>
  <c r="N87" i="1"/>
  <c r="N82" i="1"/>
  <c r="N84" i="1"/>
  <c r="N107" i="1"/>
  <c r="O107" i="1" s="1"/>
  <c r="N109" i="1"/>
  <c r="N67" i="1"/>
  <c r="N68" i="1"/>
  <c r="N66" i="1"/>
  <c r="N64" i="1"/>
  <c r="N69" i="1"/>
  <c r="N65" i="1"/>
  <c r="N88" i="1" l="1"/>
  <c r="N44" i="1"/>
  <c r="N47" i="1"/>
  <c r="N49" i="1"/>
  <c r="N45" i="1"/>
  <c r="N48" i="1"/>
  <c r="N46" i="1"/>
  <c r="N70" i="1"/>
  <c r="N50" i="1" l="1"/>
  <c r="O88" i="1"/>
  <c r="N89" i="1"/>
  <c r="O70" i="1"/>
  <c r="N71" i="1"/>
  <c r="N90" i="1" l="1"/>
  <c r="O90" i="1" s="1"/>
  <c r="N91" i="1"/>
  <c r="N51" i="1"/>
  <c r="O50" i="1"/>
  <c r="N73" i="1"/>
  <c r="N72" i="1"/>
  <c r="O72" i="1" s="1"/>
  <c r="N128" i="1"/>
  <c r="O128" i="1" s="1"/>
  <c r="I149" i="1"/>
  <c r="N53" i="1" l="1"/>
  <c r="N52" i="1"/>
  <c r="O52" i="1" s="1"/>
  <c r="N154" i="1"/>
  <c r="O154" i="1" s="1"/>
  <c r="N130" i="1"/>
  <c r="N131" i="1" s="1"/>
  <c r="N138" i="1" s="1"/>
  <c r="N136" i="1" l="1"/>
  <c r="N162" i="1" s="1"/>
  <c r="N137" i="1"/>
  <c r="N163" i="1" s="1"/>
  <c r="N132" i="1"/>
  <c r="N158" i="1" s="1"/>
  <c r="N156" i="1"/>
  <c r="O156" i="1" s="1"/>
  <c r="O155" i="1" s="1"/>
  <c r="N133" i="1"/>
  <c r="N159" i="1" s="1"/>
  <c r="N135" i="1"/>
  <c r="N161" i="1" s="1"/>
  <c r="O130" i="1"/>
  <c r="O129" i="1" s="1"/>
  <c r="N134" i="1"/>
  <c r="N160" i="1" s="1"/>
  <c r="N139" i="1" l="1"/>
  <c r="O139" i="1" s="1"/>
  <c r="N157" i="1"/>
  <c r="M162" i="1" s="1"/>
  <c r="N164" i="1"/>
  <c r="M160" i="1" l="1"/>
  <c r="O164" i="1"/>
  <c r="M161" i="1"/>
  <c r="M163" i="1"/>
  <c r="M159" i="1"/>
  <c r="M158" i="1"/>
  <c r="N140" i="1"/>
  <c r="N149" i="1" s="1"/>
  <c r="N165" i="1"/>
  <c r="N166" i="1" s="1"/>
  <c r="O166" i="1" s="1"/>
  <c r="N142" i="1" l="1"/>
  <c r="O142" i="1" s="1"/>
  <c r="N16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F7" authorId="0" shapeId="0" xr:uid="{00000000-0006-0000-0000-000002000000}">
      <text>
        <r>
          <rPr>
            <sz val="11"/>
            <color theme="1"/>
            <rFont val="Calibri"/>
            <family val="2"/>
            <scheme val="minor"/>
          </rPr>
          <t>======
ID#AAABCm8PmOA
User    (2023-12-17 19:45:39)
Clique na legenda ao  lado VARIÁVEIS DE PREÇOS para escolher os preços</t>
        </r>
      </text>
    </comment>
    <comment ref="O19" authorId="0" shapeId="0" xr:uid="{00000000-0006-0000-0000-000004000000}">
      <text>
        <r>
          <rPr>
            <sz val="11"/>
            <color theme="1"/>
            <rFont val="Calibri"/>
            <family val="2"/>
            <scheme val="minor"/>
          </rPr>
          <t>======
ID#AAABCmrLUFQ
User    (2023-12-17 19:45:39)
USAR ESTA ALÍQUOTA DE COMISSÃO DIFENCIADA PARA REPRESENTANTE NILSON, QUANDO HOUVER DESCONTO2 (GERSON)</t>
        </r>
      </text>
    </comment>
    <comment ref="L22" authorId="0" shapeId="0" xr:uid="{00000000-0006-0000-0000-000003000000}">
      <text>
        <r>
          <rPr>
            <sz val="11"/>
            <color theme="1"/>
            <rFont val="Calibri"/>
            <family val="2"/>
            <scheme val="minor"/>
          </rPr>
          <t>======
ID#AAABCmrLUFI
GERLANDIA PAIVA    (2023-12-17 19:45:39)
FRETE VARIA DE 2,4% A 3% 
TRABALHAR COM 
2,8%</t>
        </r>
      </text>
    </comment>
    <comment ref="O45" authorId="0" shapeId="0" xr:uid="{00000000-0006-0000-0000-000001000000}">
      <text>
        <r>
          <rPr>
            <sz val="11"/>
            <color theme="1"/>
            <rFont val="Calibri"/>
            <family val="2"/>
            <scheme val="minor"/>
          </rPr>
          <t>======
ID#AAABCndBOj4
User    (2023-12-17 19:45:39)
USAR ESTA ALÍQUOTA DE COMISSÃO DIFENCIADA PARA REPRESENTANTE NILSON, QUANDO HOUVER DESCONTO2 (GERSON)</t>
        </r>
      </text>
    </comment>
    <comment ref="L48" authorId="0" shapeId="0" xr:uid="{00000000-0006-0000-0000-000005000000}">
      <text>
        <r>
          <rPr>
            <sz val="11"/>
            <color theme="1"/>
            <rFont val="Calibri"/>
            <family val="2"/>
            <scheme val="minor"/>
          </rPr>
          <t>======
ID#AAABCmrLUE0
GERLANDIA PAIVA    (2023-12-17 19:45:39)
FRETE VARIA DE 2,4% A 3% 
TRABALHAR COM 
2,8%</t>
        </r>
      </text>
    </comment>
    <comment ref="O65" authorId="0" shapeId="0" xr:uid="{00000000-0006-0000-0000-00000C000000}">
      <text>
        <r>
          <rPr>
            <sz val="11"/>
            <color theme="1"/>
            <rFont val="Calibri"/>
            <family val="2"/>
            <scheme val="minor"/>
          </rPr>
          <t>======
ID#AAABMneIHsg
User    (2023-12-17 19:45:39)
USAR ESTA ALÍQUOTA DE COMISSÃO DIFENCIADA PARA REPRESENTANTE NILSON, QUANDO HOUVER DESCONTO2 (GERSON)</t>
        </r>
      </text>
    </comment>
    <comment ref="L68" authorId="0" shapeId="0" xr:uid="{00000000-0006-0000-0000-00000D000000}">
      <text>
        <r>
          <rPr>
            <sz val="11"/>
            <color theme="1"/>
            <rFont val="Calibri"/>
            <family val="2"/>
            <scheme val="minor"/>
          </rPr>
          <t>======
ID#AAABMneIHs4
GERLANDIA PAIVA    (2023-12-17 19:45:39)
FRETE VARIA DE 2,4% A 3% 
TRABALHAR COM 
2,8%</t>
        </r>
      </text>
    </comment>
    <comment ref="O83" authorId="0" shapeId="0" xr:uid="{00000000-0006-0000-0000-00000E000000}">
      <text>
        <r>
          <rPr>
            <sz val="11"/>
            <color theme="1"/>
            <rFont val="Calibri"/>
            <family val="2"/>
            <scheme val="minor"/>
          </rPr>
          <t>======
ID#AAABMneIHss
User    (2023-12-17 19:45:39)
USAR ESTA ALÍQUOTA DE COMISSÃO DIFENCIADA PARA REPRESENTANTE NILSON, QUANDO HOUVER DESCONTO2 (GERSON)</t>
        </r>
      </text>
    </comment>
    <comment ref="L86" authorId="0" shapeId="0" xr:uid="{00000000-0006-0000-0000-000009000000}">
      <text>
        <r>
          <rPr>
            <sz val="11"/>
            <color theme="1"/>
            <rFont val="Calibri"/>
            <family val="2"/>
            <scheme val="minor"/>
          </rPr>
          <t>======
ID#AAABMneIHs0
GERLANDIA PAIVA    (2023-12-17 19:45:39)
FRETE VARIA DE 2,4% A 3% 
TRABALHAR COM 
2,8%</t>
        </r>
      </text>
    </comment>
    <comment ref="O100" authorId="0" shapeId="0" xr:uid="{00000000-0006-0000-0000-00000A000000}">
      <text>
        <r>
          <rPr>
            <sz val="11"/>
            <color theme="1"/>
            <rFont val="Calibri"/>
            <family val="2"/>
            <scheme val="minor"/>
          </rPr>
          <t>======
ID#AAABMneIHso
User    (2023-12-17 19:45:39)
USAR ESTA ALÍQUOTA DE COMISSÃO DIFENCIADA PARA REPRESENTANTE NILSON, QUANDO HOUVER DESCONTO2 (GERSON)</t>
        </r>
      </text>
    </comment>
    <comment ref="L103" authorId="0" shapeId="0" xr:uid="{00000000-0006-0000-0000-00000F000000}">
      <text>
        <r>
          <rPr>
            <sz val="11"/>
            <color theme="1"/>
            <rFont val="Calibri"/>
            <family val="2"/>
            <scheme val="minor"/>
          </rPr>
          <t>======
ID#AAABMneIHsw
GERLANDIA PAIVA    (2023-12-17 19:45:39)
FRETE VARIA DE 2,4% A 3% 
TRABALHAR COM 
2,8%</t>
        </r>
      </text>
    </comment>
    <comment ref="O133" authorId="0" shapeId="0" xr:uid="{00000000-0006-0000-0000-000006000000}">
      <text>
        <r>
          <rPr>
            <sz val="11"/>
            <color theme="1"/>
            <rFont val="Calibri"/>
            <family val="2"/>
            <scheme val="minor"/>
          </rPr>
          <t>======
ID#AAABMneIHsY
User    (2023-12-17 19:45:39)
USAR ESTA ALÍQUOTA DE COMISSÃO DIFENCIADA PARA REPRESENTANTE NILSON, QUANDO HOUVER DESCONTO2 (GERSON)</t>
        </r>
      </text>
    </comment>
    <comment ref="L136" authorId="0" shapeId="0" xr:uid="{00000000-0006-0000-0000-00000B000000}">
      <text>
        <r>
          <rPr>
            <sz val="11"/>
            <color theme="1"/>
            <rFont val="Calibri"/>
            <family val="2"/>
            <scheme val="minor"/>
          </rPr>
          <t>======
ID#AAABMneIHsc
GERLANDIA PAIVA    (2023-12-17 19:45:39)
FRETE VARIA DE 2,4% A 3% 
TRABALHAR COM 
2,8%</t>
        </r>
      </text>
    </comment>
    <comment ref="O159" authorId="0" shapeId="0" xr:uid="{00000000-0006-0000-0000-000008000000}">
      <text>
        <r>
          <rPr>
            <sz val="11"/>
            <color theme="1"/>
            <rFont val="Calibri"/>
            <family val="2"/>
            <scheme val="minor"/>
          </rPr>
          <t>======
ID#AAABMneIHsk
User    (2023-12-17 19:45:39)
USAR ESTA ALÍQUOTA DE COMISSÃO DIFENCIADA PARA REPRESENTANTE NILSON, QUANDO HOUVER DESCONTO2 (GERSON)</t>
        </r>
      </text>
    </comment>
    <comment ref="L162" authorId="0" shapeId="0" xr:uid="{00000000-0006-0000-0000-000007000000}">
      <text>
        <r>
          <rPr>
            <sz val="11"/>
            <color theme="1"/>
            <rFont val="Calibri"/>
            <family val="2"/>
            <scheme val="minor"/>
          </rPr>
          <t>======
ID#AAABMneIHsU
GERLANDIA PAIVA    (2023-12-17 19:45:39)
FRETE VARIA DE 2,4% A 3% 
TRABALHAR COM 
2,8%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gkb+Sc+pNc+Bb2TU2U5VQO4rfsPg=="/>
    </ext>
  </extL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J4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>======
ID#AAABCm8PmO8
User    (2023-12-17 19:45:39)
SKIN MAIS CARO</t>
        </r>
      </text>
    </comment>
    <comment ref="F5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>======
ID#AAABCm8PmOo
Gerlandia    (2023-12-17 19:45:39)
4%</t>
        </r>
      </text>
    </comment>
    <comment ref="I5" authorId="0" shapeId="0" xr:uid="{00000000-0006-0000-0100-000004000000}">
      <text>
        <r>
          <rPr>
            <sz val="11"/>
            <color theme="1"/>
            <rFont val="Calibri"/>
            <family val="2"/>
            <scheme val="minor"/>
          </rPr>
          <t>======
ID#AAABCm8PmOs
gerlandia    (2023-12-17 19:45:39)
custo cobre
+frete
-icms (credito)
+ fti
30,22 outubro
30,89</t>
        </r>
      </text>
    </comment>
    <comment ref="J5" authorId="0" shapeId="0" xr:uid="{00000000-0006-0000-0100-000005000000}">
      <text>
        <r>
          <rPr>
            <sz val="11"/>
            <color theme="1"/>
            <rFont val="Calibri"/>
            <family val="2"/>
            <scheme val="minor"/>
          </rPr>
          <t>======
ID#AAABCm8PmOY
GERLANDIA PAIVA    (2023-12-17 19:45:39)
COMPOSTO DE PVC MARFIM - ITAMAR MUDOU
DISSE QUE O AC MP025 SO VAI SER USADO PRA LABORATORIO</t>
        </r>
      </text>
    </comment>
    <comment ref="K5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======
ID#AAABCndBOj8
Financeiro    (2023-12-17 19:45:39)
não houve mudança</t>
        </r>
      </text>
    </comment>
    <comment ref="L5" authorId="0" shapeId="0" xr:uid="{00000000-0006-0000-0100-000008000000}">
      <text>
        <r>
          <rPr>
            <sz val="11"/>
            <color theme="1"/>
            <rFont val="Calibri"/>
            <family val="2"/>
            <scheme val="minor"/>
          </rPr>
          <t>======
ID#AAABCmrLUFU
GERLANDIA PAIVA    (2023-12-17 19:45:39)
filme alfa R$ 19,02/kg
filme liso R$ 14,36/kg
50% de cada um</t>
        </r>
      </text>
    </comment>
    <comment ref="D13" authorId="0" shapeId="0" xr:uid="{00000000-0006-0000-0100-000007000000}">
      <text>
        <r>
          <rPr>
            <sz val="11"/>
            <color theme="1"/>
            <rFont val="Calibri"/>
            <family val="2"/>
            <scheme val="minor"/>
          </rPr>
          <t>======
ID#AAABCm8PmOQ
Gerlandia    (2023-12-17 19:45:39)
A partir do 10mm formação com 0,36mm</t>
        </r>
      </text>
    </comment>
    <comment ref="L13" authorId="0" shapeId="0" xr:uid="{00000000-0006-0000-0100-000006000000}">
      <text>
        <r>
          <rPr>
            <sz val="11"/>
            <color theme="1"/>
            <rFont val="Calibri"/>
            <family val="2"/>
            <scheme val="minor"/>
          </rPr>
          <t>======
ID#AAABCm8PmOE
Gerlandia    (2023-12-17 19:45:39)
25g aproximado
confirmar após produção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gfA0NgXC4GESvF5ei+E7HUYNgxlw=="/>
    </ext>
  </extL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J4" authorId="0" shapeId="0" xr:uid="{00000000-0006-0000-0200-000003000000}">
      <text>
        <r>
          <rPr>
            <sz val="11"/>
            <color theme="1"/>
            <rFont val="Calibri"/>
            <family val="2"/>
            <scheme val="minor"/>
          </rPr>
          <t>======
ID#AAABCm8PmOI
User    (2023-12-17 19:45:39)
skin mais caro</t>
        </r>
      </text>
    </comment>
    <comment ref="F5" authorId="0" shapeId="0" xr:uid="{00000000-0006-0000-0200-000006000000}">
      <text>
        <r>
          <rPr>
            <sz val="11"/>
            <color theme="1"/>
            <rFont val="Calibri"/>
            <family val="2"/>
            <scheme val="minor"/>
          </rPr>
          <t>======
ID#AAABCmrLUFA
Gerlandia    (2023-12-17 19:45:39)
proporção 0,7936% pigmento branco no PL
25 KG MARFIM
200g pigmento</t>
        </r>
      </text>
    </comment>
    <comment ref="I5" authorId="0" shapeId="0" xr:uid="{00000000-0006-0000-0200-000002000000}">
      <text>
        <r>
          <rPr>
            <sz val="11"/>
            <color theme="1"/>
            <rFont val="Calibri"/>
            <family val="2"/>
            <scheme val="minor"/>
          </rPr>
          <t>======
ID#AAABCm8PmPA
User    (2023-12-17 19:45:39)
outubro 30,22
30,89</t>
        </r>
      </text>
    </comment>
    <comment ref="J5" authorId="0" shapeId="0" xr:uid="{00000000-0006-0000-0200-000007000000}">
      <text>
        <r>
          <rPr>
            <sz val="11"/>
            <color theme="1"/>
            <rFont val="Calibri"/>
            <family val="2"/>
            <scheme val="minor"/>
          </rPr>
          <t>======
ID#AAABCmrLUEk
GERLANDIA PAIVA    (2023-12-17 19:45:39)
custo medio pvc marfim 4,78
5,23 outubro</t>
        </r>
      </text>
    </comment>
    <comment ref="K5" authorId="0" shapeId="0" xr:uid="{00000000-0006-0000-0200-000005000000}">
      <text>
        <r>
          <rPr>
            <sz val="11"/>
            <color theme="1"/>
            <rFont val="Calibri"/>
            <family val="2"/>
            <scheme val="minor"/>
          </rPr>
          <t>======
ID#AAABCmrLUFM
Financeiro    (2023-12-17 19:45:39)
PIGMENTO BRANCO  PARALELO</t>
        </r>
      </text>
    </comment>
    <comment ref="L5" authorId="0" shapeId="0" xr:uid="{00000000-0006-0000-0200-000004000000}">
      <text>
        <r>
          <rPr>
            <sz val="11"/>
            <color theme="1"/>
            <rFont val="Calibri"/>
            <family val="2"/>
            <scheme val="minor"/>
          </rPr>
          <t>======
ID#AAABCm8PmN8
GERLANDIA PAIVA    (2023-12-17 19:45:39)
filme alfa R$ 19,02/kg
filme liso R$ 14,36/kg
50% de cada um</t>
        </r>
      </text>
    </comment>
    <comment ref="J6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======
ID#AAABCm8PmPE
GERLANDIA PAIVA    (2023-12-17 19:45:39)
custo medio pvc marfim 4,78
no custo de pvc dos CABOs 1,5 a 10mm  - 75% PVC marfim a 4,78 + 25% PVC cristal a 7,89
no custo de pvc do CABO PP - 50% PVC PRETO 5,65 + 50% PVC MARFIM 4,78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ABt+EKUIA3OpaIjNAYdYv/7Hk/w=="/>
    </ext>
  </extL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J4" authorId="0" shapeId="0" xr:uid="{00000000-0006-0000-0300-000006000000}">
      <text>
        <r>
          <rPr>
            <sz val="11"/>
            <color theme="1"/>
            <rFont val="Calibri"/>
            <family val="2"/>
            <scheme val="minor"/>
          </rPr>
          <t>======
ID#AAABCmrLUE8
User    (2023-12-17 19:45:39)
skin mais caro</t>
        </r>
      </text>
    </comment>
    <comment ref="F5" authorId="0" shapeId="0" xr:uid="{00000000-0006-0000-0300-000002000000}">
      <text>
        <r>
          <rPr>
            <sz val="11"/>
            <color theme="1"/>
            <rFont val="Calibri"/>
            <family val="2"/>
            <scheme val="minor"/>
          </rPr>
          <t>======
ID#AAABCm8PmOw
Gerlandia    (2023-12-17 19:45:39)
proporção 0,7936% pigmento branco no PL
25 KG MARFIM
200g pigmento</t>
        </r>
      </text>
    </comment>
    <comment ref="I5" authorId="0" shapeId="0" xr:uid="{00000000-0006-0000-0300-000005000000}">
      <text>
        <r>
          <rPr>
            <sz val="11"/>
            <color theme="1"/>
            <rFont val="Calibri"/>
            <family val="2"/>
            <scheme val="minor"/>
          </rPr>
          <t>======
ID#AAABCmrLUFE
User    (2023-12-17 19:45:39)
outubro 30,22
30,89</t>
        </r>
      </text>
    </comment>
    <comment ref="J5" authorId="0" shapeId="0" xr:uid="{00000000-0006-0000-0300-000001000000}">
      <text>
        <r>
          <rPr>
            <sz val="11"/>
            <color theme="1"/>
            <rFont val="Calibri"/>
            <family val="2"/>
            <scheme val="minor"/>
          </rPr>
          <t>======
ID#AAABCm8PmPI
GERLANDIA PAIVA    (2023-12-17 19:45:39)
custo medio pvc marfim 4,78
5,23 outubro</t>
        </r>
      </text>
    </comment>
    <comment ref="K5" authorId="0" shapeId="0" xr:uid="{00000000-0006-0000-0300-000007000000}">
      <text>
        <r>
          <rPr>
            <sz val="11"/>
            <color theme="1"/>
            <rFont val="Calibri"/>
            <family val="2"/>
            <scheme val="minor"/>
          </rPr>
          <t>======
ID#AAABCmrLUEw
Financeiro    (2023-12-17 19:45:39)
PIGMENTO BRANCO  PARALELO</t>
        </r>
      </text>
    </comment>
    <comment ref="L5" authorId="0" shapeId="0" xr:uid="{00000000-0006-0000-0300-000004000000}">
      <text>
        <r>
          <rPr>
            <sz val="11"/>
            <color theme="1"/>
            <rFont val="Calibri"/>
            <family val="2"/>
            <scheme val="minor"/>
          </rPr>
          <t>======
ID#AAABCmrLUFY
GERLANDIA PAIVA    (2023-12-17 19:45:39)
filme alfa R$ 19,02/kg
filme liso R$ 14,36/kg
50% de cada um</t>
        </r>
      </text>
    </comment>
    <comment ref="J6" authorId="0" shapeId="0" xr:uid="{00000000-0006-0000-0300-000003000000}">
      <text>
        <r>
          <rPr>
            <sz val="11"/>
            <color theme="1"/>
            <rFont val="Calibri"/>
            <family val="2"/>
            <scheme val="minor"/>
          </rPr>
          <t>======
ID#AAABCm8PmOU
GERLANDIA PAIVA    (2023-12-17 19:45:39)
custo medio pvc marfim 4,78
no custo de pvc dos CABOs 1,5 a 10mm  - 75% PVC marfim a 4,78 + 25% PVC cristal a 7,89
no custo de pvc do CABO PP - 50% PVC PRETO 5,65 + 50% PVC MARFIM 4,78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gCBeUKtamE/wW169k5V9pFM1AgdQ=="/>
    </ext>
  </extLst>
</comments>
</file>

<file path=xl/sharedStrings.xml><?xml version="1.0" encoding="utf-8"?>
<sst xmlns="http://schemas.openxmlformats.org/spreadsheetml/2006/main" count="565" uniqueCount="245">
  <si>
    <t>VIABILIDADE COMERCIAL</t>
  </si>
  <si>
    <t>MÊS:</t>
  </si>
  <si>
    <t>DATA:</t>
  </si>
  <si>
    <t>VARIÁVEIS DE CUSTO</t>
  </si>
  <si>
    <t>COBRE (MP002)</t>
  </si>
  <si>
    <t>PVC MARFIM (MP001)</t>
  </si>
  <si>
    <t>PVC PRETO (MP020)</t>
  </si>
  <si>
    <t>SKIN/PIG</t>
  </si>
  <si>
    <t xml:space="preserve">EMBALAGEM </t>
  </si>
  <si>
    <t>ETIQUETAS</t>
  </si>
  <si>
    <t>PARÂMETROS DE APROVAÇÃO:</t>
  </si>
  <si>
    <t>MAXFIO</t>
  </si>
  <si>
    <t>ALFA/FOCUS</t>
  </si>
  <si>
    <t>GERAL</t>
  </si>
  <si>
    <t>AUTOFLEX</t>
  </si>
  <si>
    <t>ZSFLEX</t>
  </si>
  <si>
    <t>CLIENTE:</t>
  </si>
  <si>
    <t>MARCA</t>
  </si>
  <si>
    <t>TIPO</t>
  </si>
  <si>
    <t>CUSTO</t>
  </si>
  <si>
    <t>PREÇO VENDA</t>
  </si>
  <si>
    <t>CUSTO TOTAL</t>
  </si>
  <si>
    <t>TOTAL PEDIDO</t>
  </si>
  <si>
    <t>FATOR %</t>
  </si>
  <si>
    <t>Peso aproximado</t>
  </si>
  <si>
    <t>Media</t>
  </si>
  <si>
    <t>KG</t>
  </si>
  <si>
    <t>%</t>
  </si>
  <si>
    <t>FLEXÍVEL</t>
  </si>
  <si>
    <t>PARALELO</t>
  </si>
  <si>
    <t>PP</t>
  </si>
  <si>
    <t>2x1,0</t>
  </si>
  <si>
    <t>2x1,5</t>
  </si>
  <si>
    <t>2x2,5</t>
  </si>
  <si>
    <t>2X4,0</t>
  </si>
  <si>
    <t>2x6,0</t>
  </si>
  <si>
    <t>2x10,0</t>
  </si>
  <si>
    <t>2x16,0</t>
  </si>
  <si>
    <t>2x25,0</t>
  </si>
  <si>
    <t>3X1,0</t>
  </si>
  <si>
    <t>3X1,5</t>
  </si>
  <si>
    <t>3x2,5</t>
  </si>
  <si>
    <t>3x4,0</t>
  </si>
  <si>
    <t>3x6,0</t>
  </si>
  <si>
    <t>3x10,0</t>
  </si>
  <si>
    <t>3x16,0</t>
  </si>
  <si>
    <t>3x25,0</t>
  </si>
  <si>
    <t>4x1,0</t>
  </si>
  <si>
    <t>4x1,5</t>
  </si>
  <si>
    <t>4x2,5</t>
  </si>
  <si>
    <t>TOTAL DO PEDIDO</t>
  </si>
  <si>
    <t>4x4,0</t>
  </si>
  <si>
    <t>MCB</t>
  </si>
  <si>
    <t>4x6,0</t>
  </si>
  <si>
    <t>TOTAL DA VENDA (RB)</t>
  </si>
  <si>
    <t>4x10,0</t>
  </si>
  <si>
    <t>COMISSÃO VENDA EXTERNA 2% a 3%</t>
  </si>
  <si>
    <t>4x16,0</t>
  </si>
  <si>
    <t>COMISSÃO INTERNA  0,65</t>
  </si>
  <si>
    <t>5x1,0</t>
  </si>
  <si>
    <t>TAXA OP. ATE 35DD 3,5% ATE 56DD 5%</t>
  </si>
  <si>
    <t>5x1,5</t>
  </si>
  <si>
    <t>FRETE CIF PR 3% A 5%</t>
  </si>
  <si>
    <t>5x2,5</t>
  </si>
  <si>
    <t>DESCONTO VISTA  2% A 8%</t>
  </si>
  <si>
    <t>6x1,0</t>
  </si>
  <si>
    <t>TAXA OP CARTÃO DE CREDITO 4% A 6%</t>
  </si>
  <si>
    <t>6x1,5</t>
  </si>
  <si>
    <t>DESPSE LÍQUIDA</t>
  </si>
  <si>
    <t>6x2,5</t>
  </si>
  <si>
    <t>RECEITA LÍQUIDA</t>
  </si>
  <si>
    <t>Meta</t>
  </si>
  <si>
    <t>7x1,0</t>
  </si>
  <si>
    <t>LUCRO LÍQUIDO</t>
  </si>
  <si>
    <t xml:space="preserve"> 11% a 9%</t>
  </si>
  <si>
    <t>7x1,1</t>
  </si>
  <si>
    <t>STATUS</t>
  </si>
  <si>
    <t>7x2,5</t>
  </si>
  <si>
    <t>SUBTOTAL</t>
  </si>
  <si>
    <t xml:space="preserve">Peso total </t>
  </si>
  <si>
    <t>ALFAA/FOCUS</t>
  </si>
  <si>
    <t>PROJEÇÃO PESO (KG)</t>
  </si>
  <si>
    <t>COBRE (KG)</t>
  </si>
  <si>
    <t>2X0,75</t>
  </si>
  <si>
    <t>2X1,0</t>
  </si>
  <si>
    <t>2X1,5</t>
  </si>
  <si>
    <t>2X2,5</t>
  </si>
  <si>
    <t>2X6,0</t>
  </si>
  <si>
    <t>3X2,5</t>
  </si>
  <si>
    <t>PVC (KG)</t>
  </si>
  <si>
    <t>PESO BRUTO (KG)</t>
  </si>
  <si>
    <t>PL</t>
  </si>
  <si>
    <t>BLUCABOS AVSTA</t>
  </si>
  <si>
    <t>Desconto Permitido</t>
  </si>
  <si>
    <t>HRPR 1KV</t>
  </si>
  <si>
    <t>10,0MM</t>
  </si>
  <si>
    <t>Desconto Avista</t>
  </si>
  <si>
    <t>16,0MM</t>
  </si>
  <si>
    <t xml:space="preserve">Venda Direta Fabrica </t>
  </si>
  <si>
    <t>25,0MM</t>
  </si>
  <si>
    <t>Venda Por Rept</t>
  </si>
  <si>
    <t>35,0MM</t>
  </si>
  <si>
    <t>50,0MM</t>
  </si>
  <si>
    <t>70,0MM</t>
  </si>
  <si>
    <t>95,0MM</t>
  </si>
  <si>
    <t>120,0MM</t>
  </si>
  <si>
    <t>150,0MM</t>
  </si>
  <si>
    <t>185,0MM</t>
  </si>
  <si>
    <t>240,0MM</t>
  </si>
  <si>
    <t>300,0MM</t>
  </si>
  <si>
    <t xml:space="preserve"> 12% a 11%</t>
  </si>
  <si>
    <t>CABO DE SOLDA</t>
  </si>
  <si>
    <t>COBRE</t>
  </si>
  <si>
    <t>Peso</t>
  </si>
  <si>
    <t>CABO NÚ 7 FIOS</t>
  </si>
  <si>
    <t>16MM</t>
  </si>
  <si>
    <t>16mm</t>
  </si>
  <si>
    <t>7X1,45MM</t>
  </si>
  <si>
    <t>25MM</t>
  </si>
  <si>
    <t>25mm</t>
  </si>
  <si>
    <t>7X1,83MM</t>
  </si>
  <si>
    <t>35MM</t>
  </si>
  <si>
    <t>35mm</t>
  </si>
  <si>
    <t>7X2,2MM</t>
  </si>
  <si>
    <t>50MM</t>
  </si>
  <si>
    <t>50mm</t>
  </si>
  <si>
    <t>7X2,70MM</t>
  </si>
  <si>
    <t>70MM</t>
  </si>
  <si>
    <t>70mm</t>
  </si>
  <si>
    <t>7X3,00MM</t>
  </si>
  <si>
    <t>95MM</t>
  </si>
  <si>
    <t>95mm</t>
  </si>
  <si>
    <t>7X3,4MM</t>
  </si>
  <si>
    <t>CABO NÚ Fora de Norma</t>
  </si>
  <si>
    <t>NU 10</t>
  </si>
  <si>
    <t>5x1,45 10 0,075</t>
  </si>
  <si>
    <t>NU 16</t>
  </si>
  <si>
    <t>7x1,45 16 0,106</t>
  </si>
  <si>
    <t>NU 25</t>
  </si>
  <si>
    <t>NU 35</t>
  </si>
  <si>
    <t>NU 50</t>
  </si>
  <si>
    <t>NU 70</t>
  </si>
  <si>
    <t>NU 95</t>
  </si>
  <si>
    <t>CABO SOLAR</t>
  </si>
  <si>
    <t>4,0MM</t>
  </si>
  <si>
    <t>6,0MM</t>
  </si>
  <si>
    <t>RESUMO GERAL DE VIABILIDADE</t>
  </si>
  <si>
    <t>TABELA DE CUSTOS e FORMAÇÃO PV - ALFA CONDUTORES ELÉTRICOS - POR CUSTO MÉDIO</t>
  </si>
  <si>
    <t>APLICAR:</t>
  </si>
  <si>
    <t>MAXFIO - COMPOSIÇÃO (FICHAS TÉCNICAS)</t>
  </si>
  <si>
    <t>Capa PP</t>
  </si>
  <si>
    <t>PVC Emborrachado</t>
  </si>
  <si>
    <t>REFERENCIA</t>
  </si>
  <si>
    <t xml:space="preserve">CUSTO PVC </t>
  </si>
  <si>
    <t>PRODUTO</t>
  </si>
  <si>
    <t>UND</t>
  </si>
  <si>
    <t>MATÉRIA-PRIMA</t>
  </si>
  <si>
    <t>PESO</t>
  </si>
  <si>
    <t>COBRE C.M</t>
  </si>
  <si>
    <t>Hepr/Xlpe</t>
  </si>
  <si>
    <t>CUSTO EMBAL 1 - FILME IMPRESSO</t>
  </si>
  <si>
    <t>CUSTO EMBAL 2 - ETIQUETAS</t>
  </si>
  <si>
    <t>CUSTO FINAL (COMPOSIÇÃO PV)</t>
  </si>
  <si>
    <t xml:space="preserve">Blucabos </t>
  </si>
  <si>
    <t>RCM</t>
  </si>
  <si>
    <t>Roma</t>
  </si>
  <si>
    <t>GRUPO</t>
  </si>
  <si>
    <t>CABO (mm)</t>
  </si>
  <si>
    <t>PEÇA (m)</t>
  </si>
  <si>
    <t>COBRE (kg)</t>
  </si>
  <si>
    <t>PVC (kg)</t>
  </si>
  <si>
    <t>SKIN</t>
  </si>
  <si>
    <t>EMBALAGEM</t>
  </si>
  <si>
    <t>PS TOTAL(kg)</t>
  </si>
  <si>
    <t>FLEXIVEL NBR 237</t>
  </si>
  <si>
    <t>2x0,75</t>
  </si>
  <si>
    <t>fator cobre</t>
  </si>
  <si>
    <t>fator pvc</t>
  </si>
  <si>
    <t>margem erro</t>
  </si>
  <si>
    <t>cobre kg</t>
  </si>
  <si>
    <t>pvc previsto</t>
  </si>
  <si>
    <t>fator x</t>
  </si>
  <si>
    <t>fator x c/erro</t>
  </si>
  <si>
    <t>c/erro</t>
  </si>
  <si>
    <t>7x1,5</t>
  </si>
  <si>
    <t>PVC</t>
  </si>
  <si>
    <t>HEPR</t>
  </si>
  <si>
    <t>Peso total</t>
  </si>
  <si>
    <t>Total Hepr CUSTO</t>
  </si>
  <si>
    <t>divd por 0,09 +3% de torção</t>
  </si>
  <si>
    <t>CABO EM 1KV HEPR</t>
  </si>
  <si>
    <t>Buch</t>
  </si>
  <si>
    <t>total de concha</t>
  </si>
  <si>
    <t>Alma</t>
  </si>
  <si>
    <t>54*6</t>
  </si>
  <si>
    <t>84*6</t>
  </si>
  <si>
    <t>84*8</t>
  </si>
  <si>
    <t>84*10</t>
  </si>
  <si>
    <t>84*12</t>
  </si>
  <si>
    <t>134*9</t>
  </si>
  <si>
    <t>134*12</t>
  </si>
  <si>
    <t>134*13</t>
  </si>
  <si>
    <t>Custo de Produto.</t>
  </si>
  <si>
    <t>COMPOSIÇÃO DO PVC</t>
  </si>
  <si>
    <t>PVC(kg)</t>
  </si>
  <si>
    <t>CÓDIGO</t>
  </si>
  <si>
    <t>PROPORÇÃO</t>
  </si>
  <si>
    <t>qtde sacos</t>
  </si>
  <si>
    <t>kg</t>
  </si>
  <si>
    <t>CORES</t>
  </si>
  <si>
    <t>CÓDIGOS</t>
  </si>
  <si>
    <t>MP025</t>
  </si>
  <si>
    <t>AC</t>
  </si>
  <si>
    <t>SKIN AZUL</t>
  </si>
  <si>
    <t>MP028</t>
  </si>
  <si>
    <t>SKIN CORES</t>
  </si>
  <si>
    <t>confere</t>
  </si>
  <si>
    <t xml:space="preserve">TABELA DE CUSTOS e FORMAÇÃO PV - MAXFIO 2 - POR CUSTO PROJETADO </t>
  </si>
  <si>
    <t>TOTAL CUSTO COBRE</t>
  </si>
  <si>
    <t/>
  </si>
  <si>
    <t>PREÇO DE VENDA ALFA (FÁBRICA)</t>
  </si>
  <si>
    <t>AUTOFLEX - COMPOSIÇÃO (FICHA TÉCNICA)</t>
  </si>
  <si>
    <t>CUSTO PVC</t>
  </si>
  <si>
    <t>CUSTO PIG</t>
  </si>
  <si>
    <t>MARGEM BRUTA</t>
  </si>
  <si>
    <t>PV</t>
  </si>
  <si>
    <t>PV COM ST</t>
  </si>
  <si>
    <t>PIG(kg)</t>
  </si>
  <si>
    <t>PESO TOTAL(kg)</t>
  </si>
  <si>
    <t>MP001</t>
  </si>
  <si>
    <t>MARFIM</t>
  </si>
  <si>
    <t>SKIN PRETO</t>
  </si>
  <si>
    <t>MP032</t>
  </si>
  <si>
    <t>SKIN VERMELHO</t>
  </si>
  <si>
    <t>MP027</t>
  </si>
  <si>
    <t>SKIN VERDE</t>
  </si>
  <si>
    <t>MP030</t>
  </si>
  <si>
    <t>SKIN AMARELO</t>
  </si>
  <si>
    <t>MP029</t>
  </si>
  <si>
    <t>SKIN BRANCO</t>
  </si>
  <si>
    <t>MP031</t>
  </si>
  <si>
    <t>105o</t>
  </si>
  <si>
    <t>COMPOSIÇÃO DO PVC - CABOS PARALELO</t>
  </si>
  <si>
    <t>PIG(kg) MP008</t>
  </si>
  <si>
    <t>ALFA - COMPOSIÇÃO (FICHA TÉCNICA)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</si>
</sst>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8" formatCode="&quot;R$&quot;\ #,##0.00;[Red]\-&quot;R$&quot;\ #,##0.00"/>
    <numFmt numFmtId="164" formatCode="_(&quot;R$ &quot;* #,##0.00_);_(&quot;R$ &quot;* \(#,##0.00\);_(&quot;R$ &quot;* &quot;-&quot;??_);_(@_)"/>
    <numFmt numFmtId="165" formatCode="0.0%"/>
    <numFmt numFmtId="166" formatCode="_-* #,##0.00_-;\-* #,##0.00_-;_-* &quot;-&quot;??_-;_-@"/>
    <numFmt numFmtId="167" formatCode="&quot;R$ &quot;#,##0.00_);[Red]\(&quot;R$ &quot;#,##0.00\)"/>
    <numFmt numFmtId="168" formatCode="0.000"/>
    <numFmt numFmtId="169" formatCode="_-[$R$-416]\ * #,##0.00_-;\-[$R$-416]\ * #,##0.00_-;_-[$R$-416]\ * &quot;-&quot;??_-;_-@"/>
    <numFmt numFmtId="170" formatCode="_-&quot;R$&quot;\ * #,##0.00_-;\-&quot;R$&quot;\ * #,##0.00_-;_-&quot;R$&quot;\ * &quot;-&quot;??_-;_-@"/>
    <numFmt numFmtId="171" formatCode="0.0000"/>
    <numFmt numFmtId="172" formatCode="&quot;R$ &quot;#,##0.0000_);[Red]\(&quot;R$ &quot;#,##0.0000\)"/>
    <numFmt numFmtId="173" formatCode="_(&quot;R$ &quot;* #,##0_);_(&quot;R$ &quot;* \(#,##0\);_(&quot;R$ &quot;* &quot;-&quot;??_);_(@_)"/>
    <numFmt numFmtId="174" formatCode="_-* #,##0_-;\-* #,##0_-;_-* &quot;-&quot;??_-;_-@"/>
    <numFmt numFmtId="175" formatCode="0.00000"/>
    <numFmt numFmtId="176" formatCode="0.0000000"/>
    <numFmt numFmtId="177" formatCode="0.0000000%"/>
    <numFmt numFmtId="178" formatCode="0.000000"/>
    <numFmt numFmtId="179" formatCode="_-* #,##0.0000_-;\-* #,##0.0000_-;_-* &quot;-&quot;??_-;_-@"/>
    <numFmt numFmtId="180" formatCode="0.0000%"/>
  </numFmts>
  <fonts count="44" x14ac:knownFonts="1">
    <font>
      <sz val="11"/>
      <color theme="1"/>
      <name val="Calibri"/>
      <scheme val="minor"/>
    </font>
    <font>
      <b/>
      <sz val="18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5"/>
      <color theme="1"/>
      <name val="Calibri"/>
      <family val="2"/>
    </font>
    <font>
      <sz val="14"/>
      <color theme="1"/>
      <name val="Calibri"/>
      <family val="2"/>
    </font>
    <font>
      <b/>
      <sz val="14"/>
      <color rgb="FFFF0000"/>
      <name val="Calibri"/>
      <family val="2"/>
    </font>
    <font>
      <b/>
      <sz val="20"/>
      <color theme="1"/>
      <name val="Calibri"/>
      <family val="2"/>
    </font>
    <font>
      <sz val="15"/>
      <color theme="1"/>
      <name val="Calibri"/>
      <family val="2"/>
    </font>
    <font>
      <i/>
      <sz val="14"/>
      <color theme="1"/>
      <name val="Calibri"/>
      <family val="2"/>
    </font>
    <font>
      <i/>
      <sz val="10"/>
      <color theme="1"/>
      <name val="Calibri"/>
      <family val="2"/>
    </font>
    <font>
      <b/>
      <i/>
      <sz val="15"/>
      <color theme="1"/>
      <name val="Calibri"/>
      <family val="2"/>
    </font>
    <font>
      <b/>
      <sz val="11"/>
      <color theme="1"/>
      <name val="Calibri"/>
      <family val="2"/>
    </font>
    <font>
      <b/>
      <sz val="14"/>
      <color theme="1"/>
      <name val="Calibri"/>
      <family val="2"/>
    </font>
    <font>
      <b/>
      <sz val="9"/>
      <color rgb="FFFF0000"/>
      <name val="Calibri"/>
      <family val="2"/>
    </font>
    <font>
      <b/>
      <sz val="14"/>
      <color rgb="FF8EAADB"/>
      <name val="Calibri"/>
      <family val="2"/>
    </font>
    <font>
      <b/>
      <sz val="13"/>
      <color theme="1"/>
      <name val="Calibri"/>
      <family val="2"/>
    </font>
    <font>
      <b/>
      <sz val="8"/>
      <color rgb="FFFF0000"/>
      <name val="Calibri"/>
      <family val="2"/>
    </font>
    <font>
      <b/>
      <sz val="8"/>
      <color rgb="FF8EAADB"/>
      <name val="Calibri"/>
      <family val="2"/>
    </font>
    <font>
      <sz val="11"/>
      <color rgb="FFFF0000"/>
      <name val="Calibri"/>
      <family val="2"/>
    </font>
    <font>
      <sz val="8"/>
      <color rgb="FFFF0000"/>
      <name val="Calibri"/>
      <family val="2"/>
    </font>
    <font>
      <b/>
      <sz val="8"/>
      <color rgb="FF2F5496"/>
      <name val="Calibri"/>
      <family val="2"/>
    </font>
    <font>
      <b/>
      <sz val="8"/>
      <color rgb="FF00B050"/>
      <name val="Calibri"/>
      <family val="2"/>
    </font>
    <font>
      <b/>
      <sz val="7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11"/>
      <color rgb="FFFF0000"/>
      <name val="Calibri"/>
      <family val="2"/>
    </font>
    <font>
      <sz val="15"/>
      <color rgb="FFFF0000"/>
      <name val="Calibri"/>
      <family val="2"/>
    </font>
    <font>
      <b/>
      <sz val="15"/>
      <color rgb="FFFF0000"/>
      <name val="Calibri"/>
      <family val="2"/>
    </font>
    <font>
      <b/>
      <sz val="18"/>
      <color rgb="FFFF0000"/>
      <name val="Calibri"/>
      <family val="2"/>
    </font>
    <font>
      <b/>
      <sz val="14"/>
      <color rgb="FF2F5496"/>
      <name val="Calibri"/>
      <family val="2"/>
    </font>
    <font>
      <sz val="8"/>
      <color theme="1"/>
      <name val="Calibri"/>
      <family val="2"/>
    </font>
    <font>
      <b/>
      <sz val="11"/>
      <color theme="0"/>
      <name val="Calibri"/>
      <family val="2"/>
    </font>
    <font>
      <sz val="7"/>
      <color theme="1"/>
      <name val="Calibri"/>
      <family val="2"/>
    </font>
    <font>
      <sz val="11"/>
      <color rgb="FF8EAADB"/>
      <name val="Calibri"/>
      <family val="2"/>
    </font>
    <font>
      <sz val="8"/>
      <color rgb="FF8EAADB"/>
      <name val="Calibri"/>
      <family val="2"/>
    </font>
    <font>
      <sz val="10"/>
      <color rgb="FFFF0000"/>
      <name val="Calibri"/>
      <family val="2"/>
    </font>
    <font>
      <b/>
      <sz val="16"/>
      <color rgb="FFFF0000"/>
      <name val="Calibri"/>
      <family val="2"/>
    </font>
    <font>
      <b/>
      <sz val="16"/>
      <color theme="1"/>
      <name val="Calibri"/>
      <family val="2"/>
    </font>
    <font>
      <b/>
      <sz val="8"/>
      <color rgb="FF000000"/>
      <name val="Calibri"/>
      <family val="2"/>
    </font>
    <font>
      <b/>
      <sz val="17"/>
      <color theme="1"/>
      <name val="Calibri"/>
      <family val="2"/>
    </font>
    <font>
      <sz val="18"/>
      <color theme="1"/>
      <name val="Calibri"/>
      <family val="2"/>
    </font>
    <font>
      <b/>
      <sz val="8"/>
      <color theme="1"/>
      <name val="Calibri"/>
      <family val="2"/>
    </font>
    <font>
      <sz val="10"/>
      <color theme="1"/>
      <name val="Calibri"/>
      <family val="2"/>
    </font>
  </fonts>
  <fills count="31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BDD6EE"/>
        <bgColor rgb="FFBDD6EE"/>
      </patternFill>
    </fill>
    <fill>
      <patternFill patternType="solid">
        <fgColor rgb="FFFFFF00"/>
        <bgColor rgb="FFFFFF00"/>
      </patternFill>
    </fill>
    <fill>
      <patternFill patternType="solid">
        <fgColor rgb="FFF4B083"/>
        <bgColor rgb="FFF4B083"/>
      </patternFill>
    </fill>
    <fill>
      <patternFill patternType="solid">
        <fgColor rgb="FFE7E6E6"/>
        <bgColor rgb="FFE7E6E6"/>
      </patternFill>
    </fill>
    <fill>
      <patternFill patternType="solid">
        <fgColor rgb="FF92D050"/>
        <bgColor rgb="FF92D050"/>
      </patternFill>
    </fill>
    <fill>
      <patternFill patternType="solid">
        <fgColor rgb="FF9CC2E5"/>
        <bgColor rgb="FF9CC2E5"/>
      </patternFill>
    </fill>
    <fill>
      <patternFill patternType="solid">
        <fgColor rgb="FFFFC000"/>
        <bgColor rgb="FFFFC000"/>
      </patternFill>
    </fill>
    <fill>
      <patternFill patternType="solid">
        <fgColor rgb="FF8EAADB"/>
        <bgColor rgb="FF8EAADB"/>
      </patternFill>
    </fill>
    <fill>
      <patternFill patternType="solid">
        <fgColor rgb="FFAEABAB"/>
        <bgColor rgb="FFAEABAB"/>
      </patternFill>
    </fill>
    <fill>
      <patternFill patternType="solid">
        <fgColor theme="7"/>
        <bgColor theme="7"/>
      </patternFill>
    </fill>
    <fill>
      <patternFill patternType="solid">
        <fgColor rgb="FFFF0000"/>
        <bgColor rgb="FFFF0000"/>
      </patternFill>
    </fill>
    <fill>
      <patternFill patternType="solid">
        <fgColor rgb="FFF8F8A2"/>
        <bgColor rgb="FFF8F8A2"/>
      </patternFill>
    </fill>
    <fill>
      <patternFill patternType="solid">
        <fgColor rgb="FFFFFF99"/>
        <bgColor rgb="FFFFFF99"/>
      </patternFill>
    </fill>
    <fill>
      <patternFill patternType="solid">
        <fgColor rgb="FFC8C8C8"/>
        <bgColor rgb="FFC8C8C8"/>
      </patternFill>
    </fill>
    <fill>
      <patternFill patternType="solid">
        <fgColor rgb="FFC55A11"/>
        <bgColor rgb="FFC55A11"/>
      </patternFill>
    </fill>
    <fill>
      <patternFill patternType="solid">
        <fgColor rgb="FF00B0F0"/>
        <bgColor rgb="FF00B0F0"/>
      </patternFill>
    </fill>
    <fill>
      <patternFill patternType="solid">
        <fgColor rgb="FFF7CAAC"/>
        <bgColor rgb="FFF7CAAC"/>
      </patternFill>
    </fill>
    <fill>
      <patternFill patternType="solid">
        <fgColor rgb="FFA8D08D"/>
        <bgColor rgb="FFA8D08D"/>
      </patternFill>
    </fill>
    <fill>
      <patternFill patternType="solid">
        <fgColor rgb="FFFFD965"/>
        <bgColor rgb="FFFFD965"/>
      </patternFill>
    </fill>
    <fill>
      <patternFill patternType="solid">
        <fgColor rgb="FFCC99FF"/>
        <bgColor rgb="FFCC99FF"/>
      </patternFill>
    </fill>
    <fill>
      <patternFill patternType="solid">
        <fgColor rgb="FFFFFFFF"/>
        <bgColor rgb="FFFFFFFF"/>
      </patternFill>
    </fill>
    <fill>
      <patternFill patternType="solid">
        <fgColor theme="5"/>
        <bgColor theme="5"/>
      </patternFill>
    </fill>
    <fill>
      <patternFill patternType="solid">
        <fgColor rgb="FFFFE598"/>
        <bgColor rgb="FFFFE598"/>
      </patternFill>
    </fill>
    <fill>
      <patternFill patternType="solid">
        <fgColor rgb="FF2E75B5"/>
        <bgColor rgb="FF2E75B5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D8D8D8"/>
        <bgColor rgb="FFD8D8D8"/>
      </patternFill>
    </fill>
    <fill>
      <patternFill patternType="solid">
        <fgColor rgb="FF3F3F3F"/>
        <bgColor rgb="FF3F3F3F"/>
      </patternFill>
    </fill>
  </fills>
  <borders count="145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/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/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00">
    <xf numFmtId="0" fontId="0" fillId="0" borderId="0" xfId="0"/>
    <xf numFmtId="0" fontId="3" fillId="0" borderId="0" xfId="0" applyFont="1" applyAlignment="1">
      <alignment horizontal="center"/>
    </xf>
    <xf numFmtId="0" fontId="4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164" fontId="7" fillId="4" borderId="14" xfId="0" applyNumberFormat="1" applyFont="1" applyFill="1" applyBorder="1" applyAlignment="1">
      <alignment horizontal="center"/>
    </xf>
    <xf numFmtId="164" fontId="7" fillId="5" borderId="15" xfId="0" applyNumberFormat="1" applyFont="1" applyFill="1" applyBorder="1" applyAlignment="1">
      <alignment horizontal="center"/>
    </xf>
    <xf numFmtId="0" fontId="4" fillId="2" borderId="21" xfId="0" applyFont="1" applyFill="1" applyBorder="1" applyAlignment="1">
      <alignment horizontal="center" vertical="center" wrapText="1"/>
    </xf>
    <xf numFmtId="164" fontId="8" fillId="2" borderId="21" xfId="0" applyNumberFormat="1" applyFont="1" applyFill="1" applyBorder="1" applyAlignment="1">
      <alignment horizontal="center"/>
    </xf>
    <xf numFmtId="0" fontId="9" fillId="2" borderId="21" xfId="0" applyFont="1" applyFill="1" applyBorder="1"/>
    <xf numFmtId="0" fontId="10" fillId="2" borderId="21" xfId="0" applyFont="1" applyFill="1" applyBorder="1" applyAlignment="1">
      <alignment horizontal="center" vertical="center"/>
    </xf>
    <xf numFmtId="10" fontId="10" fillId="2" borderId="21" xfId="0" applyNumberFormat="1" applyFont="1" applyFill="1" applyBorder="1" applyAlignment="1">
      <alignment horizontal="center" vertical="center"/>
    </xf>
    <xf numFmtId="0" fontId="11" fillId="6" borderId="23" xfId="0" applyFont="1" applyFill="1" applyBorder="1" applyAlignment="1">
      <alignment horizontal="center" vertical="center"/>
    </xf>
    <xf numFmtId="10" fontId="11" fillId="6" borderId="23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9" fontId="11" fillId="6" borderId="23" xfId="0" applyNumberFormat="1" applyFont="1" applyFill="1" applyBorder="1" applyAlignment="1">
      <alignment horizontal="center" vertical="center"/>
    </xf>
    <xf numFmtId="0" fontId="12" fillId="2" borderId="21" xfId="0" applyFont="1" applyFill="1" applyBorder="1" applyAlignment="1">
      <alignment vertical="center" wrapText="1"/>
    </xf>
    <xf numFmtId="0" fontId="12" fillId="0" borderId="0" xfId="0" applyFont="1" applyAlignment="1">
      <alignment horizontal="center" vertical="center" wrapText="1"/>
    </xf>
    <xf numFmtId="0" fontId="13" fillId="0" borderId="6" xfId="0" applyFont="1" applyBorder="1" applyAlignment="1">
      <alignment horizontal="center"/>
    </xf>
    <xf numFmtId="0" fontId="13" fillId="0" borderId="7" xfId="0" applyFont="1" applyBorder="1" applyAlignment="1">
      <alignment horizontal="center"/>
    </xf>
    <xf numFmtId="164" fontId="6" fillId="0" borderId="7" xfId="0" applyNumberFormat="1" applyFont="1" applyBorder="1" applyAlignment="1">
      <alignment horizontal="center"/>
    </xf>
    <xf numFmtId="164" fontId="13" fillId="0" borderId="7" xfId="0" applyNumberFormat="1" applyFont="1" applyBorder="1" applyAlignment="1">
      <alignment horizontal="center"/>
    </xf>
    <xf numFmtId="0" fontId="6" fillId="0" borderId="8" xfId="0" applyFont="1" applyBorder="1" applyAlignment="1">
      <alignment horizontal="center"/>
    </xf>
    <xf numFmtId="0" fontId="14" fillId="0" borderId="0" xfId="0" applyFont="1" applyAlignment="1">
      <alignment horizontal="center" vertical="center"/>
    </xf>
    <xf numFmtId="0" fontId="15" fillId="0" borderId="0" xfId="0" applyFont="1" applyAlignment="1">
      <alignment horizontal="center"/>
    </xf>
    <xf numFmtId="0" fontId="17" fillId="8" borderId="21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3" fillId="4" borderId="31" xfId="0" applyFont="1" applyFill="1" applyBorder="1" applyAlignment="1">
      <alignment horizontal="center"/>
    </xf>
    <xf numFmtId="164" fontId="19" fillId="0" borderId="30" xfId="0" applyNumberFormat="1" applyFont="1" applyBorder="1" applyAlignment="1">
      <alignment horizontal="center" vertical="center"/>
    </xf>
    <xf numFmtId="1" fontId="3" fillId="4" borderId="21" xfId="0" applyNumberFormat="1" applyFont="1" applyFill="1" applyBorder="1" applyAlignment="1">
      <alignment horizontal="center"/>
    </xf>
    <xf numFmtId="164" fontId="3" fillId="7" borderId="21" xfId="0" applyNumberFormat="1" applyFont="1" applyFill="1" applyBorder="1" applyAlignment="1">
      <alignment horizontal="center"/>
    </xf>
    <xf numFmtId="164" fontId="19" fillId="2" borderId="21" xfId="0" applyNumberFormat="1" applyFont="1" applyFill="1" applyBorder="1"/>
    <xf numFmtId="164" fontId="3" fillId="2" borderId="21" xfId="0" applyNumberFormat="1" applyFont="1" applyFill="1" applyBorder="1"/>
    <xf numFmtId="10" fontId="20" fillId="0" borderId="10" xfId="0" applyNumberFormat="1" applyFont="1" applyBorder="1" applyAlignment="1">
      <alignment horizontal="center"/>
    </xf>
    <xf numFmtId="2" fontId="21" fillId="9" borderId="21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0" fontId="3" fillId="4" borderId="23" xfId="0" applyFont="1" applyFill="1" applyBorder="1" applyAlignment="1">
      <alignment horizontal="center"/>
    </xf>
    <xf numFmtId="164" fontId="19" fillId="0" borderId="23" xfId="0" applyNumberFormat="1" applyFont="1" applyBorder="1" applyAlignment="1">
      <alignment horizontal="center" vertical="center"/>
    </xf>
    <xf numFmtId="0" fontId="3" fillId="4" borderId="32" xfId="0" applyFont="1" applyFill="1" applyBorder="1" applyAlignment="1">
      <alignment horizontal="center"/>
    </xf>
    <xf numFmtId="164" fontId="19" fillId="0" borderId="32" xfId="0" applyNumberFormat="1" applyFont="1" applyBorder="1" applyAlignment="1">
      <alignment horizontal="center" vertical="center"/>
    </xf>
    <xf numFmtId="1" fontId="3" fillId="4" borderId="33" xfId="0" applyNumberFormat="1" applyFont="1" applyFill="1" applyBorder="1" applyAlignment="1">
      <alignment horizontal="center"/>
    </xf>
    <xf numFmtId="164" fontId="3" fillId="7" borderId="33" xfId="0" applyNumberFormat="1" applyFont="1" applyFill="1" applyBorder="1" applyAlignment="1">
      <alignment horizontal="center"/>
    </xf>
    <xf numFmtId="164" fontId="19" fillId="2" borderId="33" xfId="0" applyNumberFormat="1" applyFont="1" applyFill="1" applyBorder="1"/>
    <xf numFmtId="164" fontId="3" fillId="2" borderId="33" xfId="0" applyNumberFormat="1" applyFont="1" applyFill="1" applyBorder="1"/>
    <xf numFmtId="10" fontId="20" fillId="0" borderId="18" xfId="0" applyNumberFormat="1" applyFont="1" applyBorder="1" applyAlignment="1">
      <alignment horizontal="center"/>
    </xf>
    <xf numFmtId="0" fontId="3" fillId="10" borderId="23" xfId="0" applyFont="1" applyFill="1" applyBorder="1" applyAlignment="1">
      <alignment horizontal="center"/>
    </xf>
    <xf numFmtId="164" fontId="19" fillId="2" borderId="34" xfId="0" applyNumberFormat="1" applyFont="1" applyFill="1" applyBorder="1"/>
    <xf numFmtId="164" fontId="3" fillId="2" borderId="34" xfId="0" applyNumberFormat="1" applyFont="1" applyFill="1" applyBorder="1"/>
    <xf numFmtId="10" fontId="20" fillId="0" borderId="3" xfId="0" applyNumberFormat="1" applyFont="1" applyBorder="1" applyAlignment="1">
      <alignment horizontal="center"/>
    </xf>
    <xf numFmtId="0" fontId="3" fillId="10" borderId="32" xfId="0" applyFont="1" applyFill="1" applyBorder="1" applyAlignment="1">
      <alignment horizontal="center"/>
    </xf>
    <xf numFmtId="0" fontId="12" fillId="11" borderId="35" xfId="0" applyFont="1" applyFill="1" applyBorder="1" applyAlignment="1">
      <alignment horizontal="center"/>
    </xf>
    <xf numFmtId="164" fontId="19" fillId="0" borderId="36" xfId="0" applyNumberFormat="1" applyFont="1" applyBorder="1" applyAlignment="1">
      <alignment horizontal="center" vertical="center"/>
    </xf>
    <xf numFmtId="1" fontId="3" fillId="4" borderId="34" xfId="0" applyNumberFormat="1" applyFont="1" applyFill="1" applyBorder="1" applyAlignment="1">
      <alignment horizontal="center"/>
    </xf>
    <xf numFmtId="0" fontId="12" fillId="11" borderId="38" xfId="0" applyFont="1" applyFill="1" applyBorder="1" applyAlignment="1">
      <alignment horizontal="center"/>
    </xf>
    <xf numFmtId="0" fontId="12" fillId="11" borderId="39" xfId="0" applyFont="1" applyFill="1" applyBorder="1" applyAlignment="1">
      <alignment horizontal="center"/>
    </xf>
    <xf numFmtId="0" fontId="12" fillId="12" borderId="35" xfId="0" applyFont="1" applyFill="1" applyBorder="1" applyAlignment="1">
      <alignment horizontal="center"/>
    </xf>
    <xf numFmtId="0" fontId="12" fillId="12" borderId="38" xfId="0" applyFont="1" applyFill="1" applyBorder="1" applyAlignment="1">
      <alignment horizontal="center"/>
    </xf>
    <xf numFmtId="0" fontId="12" fillId="12" borderId="39" xfId="0" applyFont="1" applyFill="1" applyBorder="1" applyAlignment="1">
      <alignment horizontal="center"/>
    </xf>
    <xf numFmtId="0" fontId="24" fillId="0" borderId="0" xfId="0" applyFont="1"/>
    <xf numFmtId="0" fontId="12" fillId="13" borderId="35" xfId="0" applyFont="1" applyFill="1" applyBorder="1" applyAlignment="1">
      <alignment horizontal="center"/>
    </xf>
    <xf numFmtId="0" fontId="12" fillId="13" borderId="38" xfId="0" applyFont="1" applyFill="1" applyBorder="1" applyAlignment="1">
      <alignment horizontal="center"/>
    </xf>
    <xf numFmtId="0" fontId="25" fillId="14" borderId="40" xfId="0" applyFont="1" applyFill="1" applyBorder="1" applyAlignment="1">
      <alignment horizontal="center" vertical="center"/>
    </xf>
    <xf numFmtId="0" fontId="25" fillId="14" borderId="34" xfId="0" applyFont="1" applyFill="1" applyBorder="1" applyAlignment="1">
      <alignment horizontal="center" vertical="center"/>
    </xf>
    <xf numFmtId="164" fontId="26" fillId="14" borderId="41" xfId="0" applyNumberFormat="1" applyFont="1" applyFill="1" applyBorder="1"/>
    <xf numFmtId="10" fontId="25" fillId="0" borderId="3" xfId="0" applyNumberFormat="1" applyFont="1" applyBorder="1" applyAlignment="1">
      <alignment horizontal="center" vertical="center"/>
    </xf>
    <xf numFmtId="164" fontId="4" fillId="15" borderId="42" xfId="0" applyNumberFormat="1" applyFont="1" applyFill="1" applyBorder="1" applyAlignment="1">
      <alignment horizontal="center"/>
    </xf>
    <xf numFmtId="165" fontId="27" fillId="4" borderId="43" xfId="0" applyNumberFormat="1" applyFont="1" applyFill="1" applyBorder="1" applyAlignment="1">
      <alignment horizontal="center" vertical="center"/>
    </xf>
    <xf numFmtId="166" fontId="4" fillId="15" borderId="43" xfId="0" applyNumberFormat="1" applyFont="1" applyFill="1" applyBorder="1"/>
    <xf numFmtId="10" fontId="4" fillId="15" borderId="44" xfId="0" applyNumberFormat="1" applyFont="1" applyFill="1" applyBorder="1" applyAlignment="1">
      <alignment horizontal="center"/>
    </xf>
    <xf numFmtId="164" fontId="4" fillId="15" borderId="45" xfId="0" applyNumberFormat="1" applyFont="1" applyFill="1" applyBorder="1" applyAlignment="1">
      <alignment horizontal="center"/>
    </xf>
    <xf numFmtId="10" fontId="26" fillId="4" borderId="43" xfId="0" applyNumberFormat="1" applyFont="1" applyFill="1" applyBorder="1" applyAlignment="1">
      <alignment horizontal="center" vertical="center"/>
    </xf>
    <xf numFmtId="166" fontId="4" fillId="15" borderId="44" xfId="0" applyNumberFormat="1" applyFont="1" applyFill="1" applyBorder="1"/>
    <xf numFmtId="10" fontId="4" fillId="15" borderId="46" xfId="0" applyNumberFormat="1" applyFont="1" applyFill="1" applyBorder="1" applyAlignment="1">
      <alignment horizontal="center"/>
    </xf>
    <xf numFmtId="164" fontId="3" fillId="3" borderId="47" xfId="0" applyNumberFormat="1" applyFont="1" applyFill="1" applyBorder="1" applyAlignment="1">
      <alignment horizontal="center"/>
    </xf>
    <xf numFmtId="10" fontId="26" fillId="4" borderId="21" xfId="0" applyNumberFormat="1" applyFont="1" applyFill="1" applyBorder="1" applyAlignment="1">
      <alignment horizontal="center" vertical="center"/>
    </xf>
    <xf numFmtId="166" fontId="12" fillId="0" borderId="0" xfId="0" applyNumberFormat="1" applyFont="1"/>
    <xf numFmtId="10" fontId="17" fillId="0" borderId="10" xfId="0" applyNumberFormat="1" applyFont="1" applyBorder="1" applyAlignment="1">
      <alignment horizontal="center"/>
    </xf>
    <xf numFmtId="0" fontId="12" fillId="13" borderId="39" xfId="0" applyFont="1" applyFill="1" applyBorder="1" applyAlignment="1">
      <alignment horizontal="center"/>
    </xf>
    <xf numFmtId="164" fontId="3" fillId="4" borderId="47" xfId="0" applyNumberFormat="1" applyFont="1" applyFill="1" applyBorder="1" applyAlignment="1">
      <alignment horizontal="center"/>
    </xf>
    <xf numFmtId="10" fontId="12" fillId="0" borderId="10" xfId="0" applyNumberFormat="1" applyFont="1" applyBorder="1" applyAlignment="1">
      <alignment horizontal="center"/>
    </xf>
    <xf numFmtId="0" fontId="12" fillId="8" borderId="35" xfId="0" applyFont="1" applyFill="1" applyBorder="1" applyAlignment="1">
      <alignment horizontal="center"/>
    </xf>
    <xf numFmtId="164" fontId="3" fillId="0" borderId="9" xfId="0" applyNumberFormat="1" applyFont="1" applyBorder="1" applyAlignment="1">
      <alignment horizontal="center"/>
    </xf>
    <xf numFmtId="0" fontId="12" fillId="8" borderId="38" xfId="0" applyFont="1" applyFill="1" applyBorder="1" applyAlignment="1">
      <alignment horizontal="center"/>
    </xf>
    <xf numFmtId="0" fontId="12" fillId="8" borderId="39" xfId="0" applyFont="1" applyFill="1" applyBorder="1" applyAlignment="1">
      <alignment horizontal="center"/>
    </xf>
    <xf numFmtId="0" fontId="12" fillId="16" borderId="35" xfId="0" applyFont="1" applyFill="1" applyBorder="1" applyAlignment="1">
      <alignment horizontal="center"/>
    </xf>
    <xf numFmtId="0" fontId="12" fillId="16" borderId="38" xfId="0" applyFont="1" applyFill="1" applyBorder="1" applyAlignment="1">
      <alignment horizontal="center"/>
    </xf>
    <xf numFmtId="164" fontId="4" fillId="4" borderId="42" xfId="0" applyNumberFormat="1" applyFont="1" applyFill="1" applyBorder="1" applyAlignment="1">
      <alignment horizontal="center"/>
    </xf>
    <xf numFmtId="0" fontId="27" fillId="4" borderId="43" xfId="0" applyFont="1" applyFill="1" applyBorder="1" applyAlignment="1">
      <alignment horizontal="center" vertical="center"/>
    </xf>
    <xf numFmtId="166" fontId="4" fillId="4" borderId="43" xfId="0" applyNumberFormat="1" applyFont="1" applyFill="1" applyBorder="1"/>
    <xf numFmtId="10" fontId="4" fillId="15" borderId="45" xfId="0" applyNumberFormat="1" applyFont="1" applyFill="1" applyBorder="1" applyAlignment="1">
      <alignment horizontal="center"/>
    </xf>
    <xf numFmtId="10" fontId="3" fillId="0" borderId="0" xfId="0" applyNumberFormat="1" applyFont="1"/>
    <xf numFmtId="0" fontId="12" fillId="0" borderId="0" xfId="0" applyFont="1" applyAlignment="1">
      <alignment horizontal="center"/>
    </xf>
    <xf numFmtId="0" fontId="12" fillId="16" borderId="39" xfId="0" applyFont="1" applyFill="1" applyBorder="1" applyAlignment="1">
      <alignment horizontal="center"/>
    </xf>
    <xf numFmtId="164" fontId="4" fillId="4" borderId="48" xfId="0" applyNumberFormat="1" applyFont="1" applyFill="1" applyBorder="1" applyAlignment="1">
      <alignment horizontal="center"/>
    </xf>
    <xf numFmtId="166" fontId="28" fillId="4" borderId="49" xfId="0" applyNumberFormat="1" applyFont="1" applyFill="1" applyBorder="1" applyAlignment="1">
      <alignment horizontal="center"/>
    </xf>
    <xf numFmtId="0" fontId="3" fillId="4" borderId="21" xfId="0" applyFont="1" applyFill="1" applyBorder="1" applyAlignment="1">
      <alignment horizontal="center"/>
    </xf>
    <xf numFmtId="0" fontId="12" fillId="17" borderId="35" xfId="0" applyFont="1" applyFill="1" applyBorder="1" applyAlignment="1">
      <alignment horizontal="center"/>
    </xf>
    <xf numFmtId="164" fontId="4" fillId="18" borderId="48" xfId="0" applyNumberFormat="1" applyFont="1" applyFill="1" applyBorder="1" applyAlignment="1">
      <alignment horizontal="center"/>
    </xf>
    <xf numFmtId="0" fontId="27" fillId="18" borderId="43" xfId="0" applyFont="1" applyFill="1" applyBorder="1" applyAlignment="1">
      <alignment horizontal="center" vertical="center"/>
    </xf>
    <xf numFmtId="166" fontId="4" fillId="18" borderId="50" xfId="0" applyNumberFormat="1" applyFont="1" applyFill="1" applyBorder="1" applyAlignment="1">
      <alignment horizontal="center"/>
    </xf>
    <xf numFmtId="10" fontId="16" fillId="18" borderId="49" xfId="0" applyNumberFormat="1" applyFont="1" applyFill="1" applyBorder="1" applyAlignment="1">
      <alignment horizontal="center"/>
    </xf>
    <xf numFmtId="0" fontId="3" fillId="19" borderId="21" xfId="0" applyFont="1" applyFill="1" applyBorder="1" applyAlignment="1">
      <alignment horizontal="center"/>
    </xf>
    <xf numFmtId="0" fontId="12" fillId="17" borderId="38" xfId="0" applyFont="1" applyFill="1" applyBorder="1" applyAlignment="1">
      <alignment horizontal="center"/>
    </xf>
    <xf numFmtId="0" fontId="12" fillId="0" borderId="51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10" fontId="29" fillId="0" borderId="52" xfId="0" applyNumberFormat="1" applyFont="1" applyBorder="1" applyAlignment="1">
      <alignment horizontal="center"/>
    </xf>
    <xf numFmtId="10" fontId="29" fillId="0" borderId="53" xfId="0" applyNumberFormat="1" applyFont="1" applyBorder="1" applyAlignment="1">
      <alignment horizontal="center"/>
    </xf>
    <xf numFmtId="0" fontId="12" fillId="17" borderId="48" xfId="0" applyFont="1" applyFill="1" applyBorder="1" applyAlignment="1">
      <alignment horizontal="center"/>
    </xf>
    <xf numFmtId="1" fontId="13" fillId="20" borderId="43" xfId="0" applyNumberFormat="1" applyFont="1" applyFill="1" applyBorder="1" applyAlignment="1">
      <alignment horizontal="center"/>
    </xf>
    <xf numFmtId="164" fontId="13" fillId="20" borderId="43" xfId="0" applyNumberFormat="1" applyFont="1" applyFill="1" applyBorder="1" applyAlignment="1">
      <alignment horizontal="center"/>
    </xf>
    <xf numFmtId="164" fontId="6" fillId="20" borderId="43" xfId="0" applyNumberFormat="1" applyFont="1" applyFill="1" applyBorder="1" applyAlignment="1">
      <alignment horizontal="center"/>
    </xf>
    <xf numFmtId="10" fontId="6" fillId="20" borderId="43" xfId="0" applyNumberFormat="1" applyFont="1" applyFill="1" applyBorder="1" applyAlignment="1">
      <alignment horizontal="center"/>
    </xf>
    <xf numFmtId="2" fontId="30" fillId="9" borderId="45" xfId="0" applyNumberFormat="1" applyFont="1" applyFill="1" applyBorder="1" applyAlignment="1">
      <alignment horizontal="center"/>
    </xf>
    <xf numFmtId="2" fontId="13" fillId="4" borderId="21" xfId="0" applyNumberFormat="1" applyFont="1" applyFill="1" applyBorder="1" applyAlignment="1">
      <alignment horizontal="center"/>
    </xf>
    <xf numFmtId="0" fontId="3" fillId="0" borderId="24" xfId="0" applyFont="1" applyBorder="1"/>
    <xf numFmtId="0" fontId="3" fillId="0" borderId="25" xfId="0" applyFont="1" applyBorder="1"/>
    <xf numFmtId="0" fontId="3" fillId="0" borderId="26" xfId="0" applyFont="1" applyBorder="1"/>
    <xf numFmtId="164" fontId="19" fillId="0" borderId="0" xfId="0" applyNumberFormat="1" applyFont="1"/>
    <xf numFmtId="1" fontId="3" fillId="0" borderId="0" xfId="0" applyNumberFormat="1" applyFont="1" applyAlignment="1">
      <alignment horizontal="center"/>
    </xf>
    <xf numFmtId="164" fontId="3" fillId="0" borderId="0" xfId="0" applyNumberFormat="1" applyFont="1"/>
    <xf numFmtId="164" fontId="26" fillId="0" borderId="0" xfId="0" applyNumberFormat="1" applyFont="1"/>
    <xf numFmtId="164" fontId="12" fillId="0" borderId="0" xfId="0" applyNumberFormat="1" applyFont="1"/>
    <xf numFmtId="10" fontId="20" fillId="0" borderId="0" xfId="0" applyNumberFormat="1" applyFont="1" applyAlignment="1">
      <alignment horizontal="center"/>
    </xf>
    <xf numFmtId="0" fontId="3" fillId="0" borderId="60" xfId="0" applyFont="1" applyBorder="1" applyAlignment="1">
      <alignment horizontal="center"/>
    </xf>
    <xf numFmtId="164" fontId="12" fillId="2" borderId="61" xfId="0" applyNumberFormat="1" applyFont="1" applyFill="1" applyBorder="1" applyAlignment="1">
      <alignment horizontal="center"/>
    </xf>
    <xf numFmtId="164" fontId="3" fillId="9" borderId="34" xfId="0" applyNumberFormat="1" applyFont="1" applyFill="1" applyBorder="1"/>
    <xf numFmtId="2" fontId="17" fillId="0" borderId="0" xfId="0" applyNumberFormat="1" applyFont="1" applyAlignment="1">
      <alignment horizontal="center"/>
    </xf>
    <xf numFmtId="0" fontId="3" fillId="0" borderId="28" xfId="0" applyFont="1" applyBorder="1" applyAlignment="1">
      <alignment horizontal="center"/>
    </xf>
    <xf numFmtId="164" fontId="12" fillId="2" borderId="64" xfId="0" applyNumberFormat="1" applyFont="1" applyFill="1" applyBorder="1" applyAlignment="1">
      <alignment horizontal="center"/>
    </xf>
    <xf numFmtId="164" fontId="3" fillId="9" borderId="21" xfId="0" applyNumberFormat="1" applyFont="1" applyFill="1" applyBorder="1"/>
    <xf numFmtId="10" fontId="25" fillId="0" borderId="65" xfId="0" applyNumberFormat="1" applyFont="1" applyBorder="1" applyAlignment="1">
      <alignment horizontal="center" vertical="center"/>
    </xf>
    <xf numFmtId="0" fontId="3" fillId="0" borderId="68" xfId="0" applyFont="1" applyBorder="1" applyAlignment="1">
      <alignment horizontal="center"/>
    </xf>
    <xf numFmtId="164" fontId="12" fillId="2" borderId="69" xfId="0" applyNumberFormat="1" applyFont="1" applyFill="1" applyBorder="1" applyAlignment="1">
      <alignment horizontal="center"/>
    </xf>
    <xf numFmtId="0" fontId="3" fillId="0" borderId="23" xfId="0" applyFont="1" applyBorder="1" applyAlignment="1">
      <alignment horizontal="center"/>
    </xf>
    <xf numFmtId="1" fontId="3" fillId="0" borderId="23" xfId="0" applyNumberFormat="1" applyFont="1" applyBorder="1" applyAlignment="1">
      <alignment horizontal="center"/>
    </xf>
    <xf numFmtId="0" fontId="3" fillId="0" borderId="70" xfId="0" applyFont="1" applyBorder="1" applyAlignment="1">
      <alignment horizontal="center"/>
    </xf>
    <xf numFmtId="164" fontId="12" fillId="0" borderId="59" xfId="0" applyNumberFormat="1" applyFont="1" applyBorder="1"/>
    <xf numFmtId="0" fontId="12" fillId="9" borderId="21" xfId="0" applyFont="1" applyFill="1" applyBorder="1"/>
    <xf numFmtId="1" fontId="12" fillId="9" borderId="21" xfId="0" applyNumberFormat="1" applyFont="1" applyFill="1" applyBorder="1" applyAlignment="1">
      <alignment horizontal="center"/>
    </xf>
    <xf numFmtId="164" fontId="12" fillId="0" borderId="63" xfId="0" applyNumberFormat="1" applyFont="1" applyBorder="1"/>
    <xf numFmtId="164" fontId="12" fillId="0" borderId="67" xfId="0" applyNumberFormat="1" applyFont="1" applyBorder="1"/>
    <xf numFmtId="166" fontId="4" fillId="4" borderId="71" xfId="0" applyNumberFormat="1" applyFont="1" applyFill="1" applyBorder="1"/>
    <xf numFmtId="166" fontId="28" fillId="4" borderId="45" xfId="0" applyNumberFormat="1" applyFont="1" applyFill="1" applyBorder="1" applyAlignment="1">
      <alignment horizontal="center"/>
    </xf>
    <xf numFmtId="1" fontId="13" fillId="21" borderId="74" xfId="0" applyNumberFormat="1" applyFont="1" applyFill="1" applyBorder="1" applyAlignment="1">
      <alignment horizontal="center"/>
    </xf>
    <xf numFmtId="164" fontId="13" fillId="21" borderId="74" xfId="0" applyNumberFormat="1" applyFont="1" applyFill="1" applyBorder="1" applyAlignment="1">
      <alignment horizontal="center"/>
    </xf>
    <xf numFmtId="164" fontId="6" fillId="21" borderId="74" xfId="0" applyNumberFormat="1" applyFont="1" applyFill="1" applyBorder="1" applyAlignment="1">
      <alignment horizontal="center"/>
    </xf>
    <xf numFmtId="10" fontId="6" fillId="21" borderId="74" xfId="0" applyNumberFormat="1" applyFont="1" applyFill="1" applyBorder="1" applyAlignment="1">
      <alignment horizontal="center"/>
    </xf>
    <xf numFmtId="2" fontId="12" fillId="21" borderId="45" xfId="0" applyNumberFormat="1" applyFont="1" applyFill="1" applyBorder="1" applyAlignment="1">
      <alignment horizontal="center"/>
    </xf>
    <xf numFmtId="2" fontId="12" fillId="0" borderId="0" xfId="0" applyNumberFormat="1" applyFont="1" applyAlignment="1">
      <alignment horizontal="center"/>
    </xf>
    <xf numFmtId="0" fontId="3" fillId="0" borderId="79" xfId="0" applyFont="1" applyBorder="1" applyAlignment="1">
      <alignment horizontal="center"/>
    </xf>
    <xf numFmtId="164" fontId="19" fillId="0" borderId="59" xfId="0" applyNumberFormat="1" applyFont="1" applyBorder="1"/>
    <xf numFmtId="2" fontId="26" fillId="0" borderId="0" xfId="0" applyNumberFormat="1" applyFont="1" applyAlignment="1">
      <alignment horizontal="center"/>
    </xf>
    <xf numFmtId="0" fontId="3" fillId="0" borderId="80" xfId="0" applyFont="1" applyBorder="1" applyAlignment="1">
      <alignment horizontal="center"/>
    </xf>
    <xf numFmtId="164" fontId="19" fillId="0" borderId="63" xfId="0" applyNumberFormat="1" applyFont="1" applyBorder="1"/>
    <xf numFmtId="0" fontId="12" fillId="22" borderId="23" xfId="0" applyFont="1" applyFill="1" applyBorder="1"/>
    <xf numFmtId="1" fontId="12" fillId="22" borderId="23" xfId="0" applyNumberFormat="1" applyFont="1" applyFill="1" applyBorder="1" applyAlignment="1">
      <alignment horizontal="center"/>
    </xf>
    <xf numFmtId="0" fontId="3" fillId="0" borderId="81" xfId="0" applyFont="1" applyBorder="1" applyAlignment="1">
      <alignment horizontal="center"/>
    </xf>
    <xf numFmtId="164" fontId="19" fillId="0" borderId="67" xfId="0" applyNumberFormat="1" applyFont="1" applyBorder="1"/>
    <xf numFmtId="166" fontId="4" fillId="4" borderId="44" xfId="0" applyNumberFormat="1" applyFont="1" applyFill="1" applyBorder="1"/>
    <xf numFmtId="164" fontId="19" fillId="0" borderId="80" xfId="0" applyNumberFormat="1" applyFont="1" applyBorder="1"/>
    <xf numFmtId="1" fontId="3" fillId="3" borderId="21" xfId="0" applyNumberFormat="1" applyFont="1" applyFill="1" applyBorder="1" applyAlignment="1">
      <alignment horizontal="center"/>
    </xf>
    <xf numFmtId="164" fontId="3" fillId="22" borderId="21" xfId="0" applyNumberFormat="1" applyFont="1" applyFill="1" applyBorder="1"/>
    <xf numFmtId="10" fontId="20" fillId="0" borderId="83" xfId="0" applyNumberFormat="1" applyFont="1" applyBorder="1" applyAlignment="1">
      <alignment horizontal="center"/>
    </xf>
    <xf numFmtId="0" fontId="3" fillId="0" borderId="85" xfId="0" applyFont="1" applyBorder="1" applyAlignment="1">
      <alignment horizontal="center"/>
    </xf>
    <xf numFmtId="164" fontId="19" fillId="0" borderId="85" xfId="0" applyNumberFormat="1" applyFont="1" applyBorder="1"/>
    <xf numFmtId="1" fontId="3" fillId="3" borderId="74" xfId="0" applyNumberFormat="1" applyFont="1" applyFill="1" applyBorder="1" applyAlignment="1">
      <alignment horizontal="center"/>
    </xf>
    <xf numFmtId="164" fontId="19" fillId="2" borderId="74" xfId="0" applyNumberFormat="1" applyFont="1" applyFill="1" applyBorder="1"/>
    <xf numFmtId="164" fontId="3" fillId="2" borderId="74" xfId="0" applyNumberFormat="1" applyFont="1" applyFill="1" applyBorder="1"/>
    <xf numFmtId="10" fontId="20" fillId="0" borderId="86" xfId="0" applyNumberFormat="1" applyFont="1" applyBorder="1" applyAlignment="1">
      <alignment horizontal="center"/>
    </xf>
    <xf numFmtId="0" fontId="3" fillId="0" borderId="0" xfId="0" applyFont="1"/>
    <xf numFmtId="1" fontId="13" fillId="22" borderId="74" xfId="0" applyNumberFormat="1" applyFont="1" applyFill="1" applyBorder="1" applyAlignment="1">
      <alignment horizontal="center"/>
    </xf>
    <xf numFmtId="164" fontId="13" fillId="22" borderId="74" xfId="0" applyNumberFormat="1" applyFont="1" applyFill="1" applyBorder="1" applyAlignment="1">
      <alignment horizontal="center"/>
    </xf>
    <xf numFmtId="164" fontId="6" fillId="22" borderId="74" xfId="0" applyNumberFormat="1" applyFont="1" applyFill="1" applyBorder="1" applyAlignment="1">
      <alignment horizontal="center"/>
    </xf>
    <xf numFmtId="10" fontId="6" fillId="22" borderId="74" xfId="0" applyNumberFormat="1" applyFont="1" applyFill="1" applyBorder="1" applyAlignment="1">
      <alignment horizontal="center"/>
    </xf>
    <xf numFmtId="2" fontId="26" fillId="0" borderId="45" xfId="0" applyNumberFormat="1" applyFont="1" applyBorder="1" applyAlignment="1">
      <alignment horizontal="center"/>
    </xf>
    <xf numFmtId="10" fontId="31" fillId="0" borderId="0" xfId="0" applyNumberFormat="1" applyFont="1" applyAlignment="1">
      <alignment horizontal="center"/>
    </xf>
    <xf numFmtId="1" fontId="12" fillId="0" borderId="0" xfId="0" applyNumberFormat="1" applyFont="1"/>
    <xf numFmtId="164" fontId="32" fillId="0" borderId="0" xfId="0" applyNumberFormat="1" applyFont="1"/>
    <xf numFmtId="166" fontId="12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0" fontId="29" fillId="0" borderId="0" xfId="0" applyNumberFormat="1" applyFont="1" applyAlignment="1">
      <alignment horizontal="center"/>
    </xf>
    <xf numFmtId="0" fontId="3" fillId="21" borderId="21" xfId="0" applyFont="1" applyFill="1" applyBorder="1"/>
    <xf numFmtId="0" fontId="33" fillId="4" borderId="21" xfId="0" applyFont="1" applyFill="1" applyBorder="1" applyAlignment="1">
      <alignment horizontal="center" vertical="center"/>
    </xf>
    <xf numFmtId="164" fontId="19" fillId="0" borderId="90" xfId="0" applyNumberFormat="1" applyFont="1" applyBorder="1"/>
    <xf numFmtId="1" fontId="3" fillId="4" borderId="61" xfId="0" applyNumberFormat="1" applyFont="1" applyFill="1" applyBorder="1" applyAlignment="1">
      <alignment horizontal="center"/>
    </xf>
    <xf numFmtId="164" fontId="3" fillId="5" borderId="21" xfId="0" applyNumberFormat="1" applyFont="1" applyFill="1" applyBorder="1"/>
    <xf numFmtId="164" fontId="19" fillId="2" borderId="91" xfId="0" applyNumberFormat="1" applyFont="1" applyFill="1" applyBorder="1"/>
    <xf numFmtId="164" fontId="3" fillId="2" borderId="91" xfId="0" applyNumberFormat="1" applyFont="1" applyFill="1" applyBorder="1"/>
    <xf numFmtId="10" fontId="20" fillId="0" borderId="92" xfId="0" applyNumberFormat="1" applyFont="1" applyBorder="1" applyAlignment="1">
      <alignment horizontal="center"/>
    </xf>
    <xf numFmtId="2" fontId="17" fillId="21" borderId="61" xfId="0" applyNumberFormat="1" applyFont="1" applyFill="1" applyBorder="1" applyAlignment="1">
      <alignment horizontal="center"/>
    </xf>
    <xf numFmtId="1" fontId="3" fillId="4" borderId="64" xfId="0" applyNumberFormat="1" applyFont="1" applyFill="1" applyBorder="1" applyAlignment="1">
      <alignment horizontal="center"/>
    </xf>
    <xf numFmtId="2" fontId="17" fillId="21" borderId="64" xfId="0" applyNumberFormat="1" applyFont="1" applyFill="1" applyBorder="1" applyAlignment="1">
      <alignment horizontal="center"/>
    </xf>
    <xf numFmtId="0" fontId="12" fillId="19" borderId="23" xfId="0" applyFont="1" applyFill="1" applyBorder="1"/>
    <xf numFmtId="1" fontId="12" fillId="19" borderId="23" xfId="0" applyNumberFormat="1" applyFont="1" applyFill="1" applyBorder="1" applyAlignment="1">
      <alignment horizontal="center"/>
    </xf>
    <xf numFmtId="1" fontId="3" fillId="4" borderId="69" xfId="0" applyNumberFormat="1" applyFont="1" applyFill="1" applyBorder="1" applyAlignment="1">
      <alignment horizontal="center"/>
    </xf>
    <xf numFmtId="2" fontId="17" fillId="21" borderId="69" xfId="0" applyNumberFormat="1" applyFont="1" applyFill="1" applyBorder="1" applyAlignment="1">
      <alignment horizontal="center"/>
    </xf>
    <xf numFmtId="1" fontId="13" fillId="5" borderId="74" xfId="0" applyNumberFormat="1" applyFont="1" applyFill="1" applyBorder="1" applyAlignment="1">
      <alignment horizontal="center"/>
    </xf>
    <xf numFmtId="164" fontId="13" fillId="5" borderId="74" xfId="0" applyNumberFormat="1" applyFont="1" applyFill="1" applyBorder="1" applyAlignment="1">
      <alignment horizontal="center"/>
    </xf>
    <xf numFmtId="164" fontId="6" fillId="5" borderId="74" xfId="0" applyNumberFormat="1" applyFont="1" applyFill="1" applyBorder="1" applyAlignment="1">
      <alignment horizontal="center"/>
    </xf>
    <xf numFmtId="10" fontId="6" fillId="5" borderId="74" xfId="0" applyNumberFormat="1" applyFont="1" applyFill="1" applyBorder="1" applyAlignment="1">
      <alignment horizontal="center"/>
    </xf>
    <xf numFmtId="164" fontId="4" fillId="18" borderId="33" xfId="0" applyNumberFormat="1" applyFont="1" applyFill="1" applyBorder="1" applyAlignment="1">
      <alignment horizontal="center"/>
    </xf>
    <xf numFmtId="0" fontId="13" fillId="5" borderId="21" xfId="0" applyFont="1" applyFill="1" applyBorder="1" applyAlignment="1">
      <alignment horizontal="center"/>
    </xf>
    <xf numFmtId="1" fontId="13" fillId="5" borderId="21" xfId="0" applyNumberFormat="1" applyFont="1" applyFill="1" applyBorder="1" applyAlignment="1">
      <alignment horizontal="center"/>
    </xf>
    <xf numFmtId="164" fontId="13" fillId="5" borderId="21" xfId="0" applyNumberFormat="1" applyFont="1" applyFill="1" applyBorder="1" applyAlignment="1">
      <alignment horizontal="center"/>
    </xf>
    <xf numFmtId="164" fontId="6" fillId="5" borderId="21" xfId="0" applyNumberFormat="1" applyFont="1" applyFill="1" applyBorder="1" applyAlignment="1">
      <alignment horizontal="center"/>
    </xf>
    <xf numFmtId="10" fontId="6" fillId="5" borderId="21" xfId="0" applyNumberFormat="1" applyFont="1" applyFill="1" applyBorder="1" applyAlignment="1">
      <alignment horizontal="center"/>
    </xf>
    <xf numFmtId="0" fontId="34" fillId="8" borderId="21" xfId="0" applyFont="1" applyFill="1" applyBorder="1"/>
    <xf numFmtId="0" fontId="34" fillId="8" borderId="21" xfId="0" applyFont="1" applyFill="1" applyBorder="1" applyAlignment="1">
      <alignment horizontal="center"/>
    </xf>
    <xf numFmtId="164" fontId="34" fillId="8" borderId="21" xfId="0" applyNumberFormat="1" applyFont="1" applyFill="1" applyBorder="1"/>
    <xf numFmtId="10" fontId="34" fillId="8" borderId="21" xfId="0" applyNumberFormat="1" applyFont="1" applyFill="1" applyBorder="1"/>
    <xf numFmtId="0" fontId="35" fillId="8" borderId="21" xfId="0" applyFont="1" applyFill="1" applyBorder="1" applyAlignment="1">
      <alignment horizontal="center"/>
    </xf>
    <xf numFmtId="0" fontId="3" fillId="0" borderId="59" xfId="0" applyFont="1" applyBorder="1" applyAlignment="1">
      <alignment horizontal="center"/>
    </xf>
    <xf numFmtId="167" fontId="3" fillId="2" borderId="93" xfId="0" applyNumberFormat="1" applyFont="1" applyFill="1" applyBorder="1" applyAlignment="1">
      <alignment horizontal="center"/>
    </xf>
    <xf numFmtId="1" fontId="3" fillId="4" borderId="71" xfId="0" applyNumberFormat="1" applyFont="1" applyFill="1" applyBorder="1" applyAlignment="1">
      <alignment horizontal="center"/>
    </xf>
    <xf numFmtId="164" fontId="3" fillId="5" borderId="34" xfId="0" applyNumberFormat="1" applyFont="1" applyFill="1" applyBorder="1"/>
    <xf numFmtId="10" fontId="20" fillId="0" borderId="94" xfId="0" applyNumberFormat="1" applyFont="1" applyBorder="1" applyAlignment="1">
      <alignment horizontal="center"/>
    </xf>
    <xf numFmtId="168" fontId="19" fillId="0" borderId="3" xfId="0" applyNumberFormat="1" applyFont="1" applyBorder="1" applyAlignment="1">
      <alignment horizontal="center"/>
    </xf>
    <xf numFmtId="0" fontId="19" fillId="0" borderId="0" xfId="0" applyFont="1" applyAlignment="1">
      <alignment horizontal="center"/>
    </xf>
    <xf numFmtId="0" fontId="3" fillId="0" borderId="63" xfId="0" applyFont="1" applyBorder="1" applyAlignment="1">
      <alignment horizontal="center"/>
    </xf>
    <xf numFmtId="167" fontId="3" fillId="2" borderId="95" xfId="0" applyNumberFormat="1" applyFont="1" applyFill="1" applyBorder="1" applyAlignment="1">
      <alignment horizontal="center"/>
    </xf>
    <xf numFmtId="1" fontId="3" fillId="4" borderId="46" xfId="0" applyNumberFormat="1" applyFont="1" applyFill="1" applyBorder="1" applyAlignment="1">
      <alignment horizontal="center"/>
    </xf>
    <xf numFmtId="168" fontId="19" fillId="0" borderId="10" xfId="0" applyNumberFormat="1" applyFont="1" applyBorder="1" applyAlignment="1">
      <alignment horizontal="center"/>
    </xf>
    <xf numFmtId="0" fontId="19" fillId="0" borderId="1" xfId="0" applyFont="1" applyBorder="1" applyAlignment="1">
      <alignment horizontal="center"/>
    </xf>
    <xf numFmtId="0" fontId="12" fillId="0" borderId="2" xfId="0" applyFont="1" applyBorder="1" applyAlignment="1">
      <alignment horizontal="center" vertical="center"/>
    </xf>
    <xf numFmtId="0" fontId="12" fillId="4" borderId="45" xfId="0" applyFont="1" applyFill="1" applyBorder="1" applyAlignment="1">
      <alignment horizontal="center" vertical="center"/>
    </xf>
    <xf numFmtId="10" fontId="29" fillId="0" borderId="2" xfId="0" applyNumberFormat="1" applyFont="1" applyBorder="1" applyAlignment="1">
      <alignment horizontal="center"/>
    </xf>
    <xf numFmtId="10" fontId="29" fillId="0" borderId="3" xfId="0" applyNumberFormat="1" applyFont="1" applyBorder="1" applyAlignment="1">
      <alignment horizontal="center"/>
    </xf>
    <xf numFmtId="0" fontId="19" fillId="0" borderId="9" xfId="0" applyFont="1" applyBorder="1" applyAlignment="1">
      <alignment horizontal="center"/>
    </xf>
    <xf numFmtId="169" fontId="12" fillId="0" borderId="45" xfId="0" applyNumberFormat="1" applyFont="1" applyBorder="1" applyAlignment="1">
      <alignment horizontal="center" vertical="center"/>
    </xf>
    <xf numFmtId="10" fontId="29" fillId="0" borderId="10" xfId="0" applyNumberFormat="1" applyFont="1" applyBorder="1" applyAlignment="1">
      <alignment horizontal="center"/>
    </xf>
    <xf numFmtId="168" fontId="19" fillId="0" borderId="96" xfId="0" applyNumberFormat="1" applyFont="1" applyBorder="1" applyAlignment="1">
      <alignment horizontal="center"/>
    </xf>
    <xf numFmtId="0" fontId="3" fillId="0" borderId="67" xfId="0" applyFont="1" applyBorder="1" applyAlignment="1">
      <alignment horizontal="center"/>
    </xf>
    <xf numFmtId="167" fontId="3" fillId="2" borderId="97" xfId="0" applyNumberFormat="1" applyFont="1" applyFill="1" applyBorder="1" applyAlignment="1">
      <alignment horizontal="center"/>
    </xf>
    <xf numFmtId="164" fontId="36" fillId="2" borderId="21" xfId="0" applyNumberFormat="1" applyFont="1" applyFill="1" applyBorder="1"/>
    <xf numFmtId="164" fontId="36" fillId="2" borderId="34" xfId="0" applyNumberFormat="1" applyFont="1" applyFill="1" applyBorder="1"/>
    <xf numFmtId="10" fontId="20" fillId="0" borderId="2" xfId="0" applyNumberFormat="1" applyFont="1" applyBorder="1" applyAlignment="1">
      <alignment horizontal="center"/>
    </xf>
    <xf numFmtId="0" fontId="19" fillId="0" borderId="3" xfId="0" applyFont="1" applyBorder="1" applyAlignment="1">
      <alignment horizontal="center"/>
    </xf>
    <xf numFmtId="0" fontId="16" fillId="0" borderId="59" xfId="0" applyFont="1" applyBorder="1" applyAlignment="1">
      <alignment horizontal="center"/>
    </xf>
    <xf numFmtId="0" fontId="12" fillId="0" borderId="59" xfId="0" applyFont="1" applyBorder="1" applyAlignment="1">
      <alignment horizontal="center" vertical="center"/>
    </xf>
    <xf numFmtId="170" fontId="1" fillId="0" borderId="59" xfId="0" applyNumberFormat="1" applyFont="1" applyBorder="1" applyAlignment="1">
      <alignment horizontal="center"/>
    </xf>
    <xf numFmtId="10" fontId="29" fillId="0" borderId="59" xfId="0" applyNumberFormat="1" applyFont="1" applyBorder="1" applyAlignment="1">
      <alignment horizontal="center"/>
    </xf>
    <xf numFmtId="0" fontId="16" fillId="0" borderId="63" xfId="0" applyFont="1" applyBorder="1" applyAlignment="1">
      <alignment horizontal="center"/>
    </xf>
    <xf numFmtId="0" fontId="12" fillId="0" borderId="63" xfId="0" applyFont="1" applyBorder="1" applyAlignment="1">
      <alignment horizontal="center" vertical="center"/>
    </xf>
    <xf numFmtId="170" fontId="1" fillId="0" borderId="63" xfId="0" applyNumberFormat="1" applyFont="1" applyBorder="1" applyAlignment="1">
      <alignment horizontal="center"/>
    </xf>
    <xf numFmtId="10" fontId="29" fillId="0" borderId="63" xfId="0" applyNumberFormat="1" applyFont="1" applyBorder="1" applyAlignment="1">
      <alignment horizontal="center"/>
    </xf>
    <xf numFmtId="164" fontId="36" fillId="2" borderId="33" xfId="0" applyNumberFormat="1" applyFont="1" applyFill="1" applyBorder="1"/>
    <xf numFmtId="10" fontId="20" fillId="0" borderId="17" xfId="0" applyNumberFormat="1" applyFont="1" applyBorder="1" applyAlignment="1">
      <alignment horizontal="center"/>
    </xf>
    <xf numFmtId="0" fontId="16" fillId="0" borderId="67" xfId="0" applyFont="1" applyBorder="1" applyAlignment="1">
      <alignment horizontal="center"/>
    </xf>
    <xf numFmtId="0" fontId="12" fillId="0" borderId="67" xfId="0" applyFont="1" applyBorder="1" applyAlignment="1">
      <alignment horizontal="center" vertical="center"/>
    </xf>
    <xf numFmtId="170" fontId="1" fillId="0" borderId="67" xfId="0" applyNumberFormat="1" applyFont="1" applyBorder="1" applyAlignment="1">
      <alignment horizontal="center"/>
    </xf>
    <xf numFmtId="10" fontId="29" fillId="0" borderId="67" xfId="0" applyNumberFormat="1" applyFont="1" applyBorder="1" applyAlignment="1">
      <alignment horizontal="center"/>
    </xf>
    <xf numFmtId="0" fontId="3" fillId="5" borderId="21" xfId="0" applyFont="1" applyFill="1" applyBorder="1"/>
    <xf numFmtId="1" fontId="12" fillId="5" borderId="21" xfId="0" applyNumberFormat="1" applyFont="1" applyFill="1" applyBorder="1" applyAlignment="1">
      <alignment horizontal="center" vertical="center"/>
    </xf>
    <xf numFmtId="170" fontId="37" fillId="5" borderId="69" xfId="0" applyNumberFormat="1" applyFont="1" applyFill="1" applyBorder="1" applyAlignment="1">
      <alignment horizontal="center" vertical="center"/>
    </xf>
    <xf numFmtId="170" fontId="38" fillId="5" borderId="69" xfId="0" applyNumberFormat="1" applyFont="1" applyFill="1" applyBorder="1" applyAlignment="1">
      <alignment horizontal="center" vertical="center"/>
    </xf>
    <xf numFmtId="10" fontId="39" fillId="5" borderId="21" xfId="0" applyNumberFormat="1" applyFont="1" applyFill="1" applyBorder="1" applyAlignment="1">
      <alignment horizontal="center"/>
    </xf>
    <xf numFmtId="168" fontId="3" fillId="5" borderId="21" xfId="0" applyNumberFormat="1" applyFont="1" applyFill="1" applyBorder="1" applyAlignment="1">
      <alignment horizontal="center"/>
    </xf>
    <xf numFmtId="1" fontId="12" fillId="0" borderId="0" xfId="0" applyNumberFormat="1" applyFont="1" applyAlignment="1">
      <alignment horizontal="center" vertical="center"/>
    </xf>
    <xf numFmtId="170" fontId="37" fillId="0" borderId="0" xfId="0" applyNumberFormat="1" applyFont="1" applyAlignment="1">
      <alignment horizontal="center" vertical="center"/>
    </xf>
    <xf numFmtId="170" fontId="38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 textRotation="90"/>
    </xf>
    <xf numFmtId="167" fontId="3" fillId="2" borderId="21" xfId="0" applyNumberFormat="1" applyFont="1" applyFill="1" applyBorder="1" applyAlignment="1">
      <alignment horizontal="center"/>
    </xf>
    <xf numFmtId="1" fontId="3" fillId="23" borderId="21" xfId="0" applyNumberFormat="1" applyFont="1" applyFill="1" applyBorder="1" applyAlignment="1">
      <alignment horizontal="center"/>
    </xf>
    <xf numFmtId="164" fontId="3" fillId="23" borderId="21" xfId="0" applyNumberFormat="1" applyFont="1" applyFill="1" applyBorder="1"/>
    <xf numFmtId="164" fontId="26" fillId="2" borderId="21" xfId="0" applyNumberFormat="1" applyFont="1" applyFill="1" applyBorder="1" applyAlignment="1">
      <alignment horizontal="center" vertical="center"/>
    </xf>
    <xf numFmtId="0" fontId="3" fillId="0" borderId="10" xfId="0" applyFont="1" applyBorder="1"/>
    <xf numFmtId="0" fontId="3" fillId="0" borderId="2" xfId="0" applyFont="1" applyBorder="1" applyAlignment="1">
      <alignment horizontal="center"/>
    </xf>
    <xf numFmtId="164" fontId="3" fillId="10" borderId="23" xfId="0" applyNumberFormat="1" applyFont="1" applyFill="1" applyBorder="1"/>
    <xf numFmtId="2" fontId="3" fillId="21" borderId="61" xfId="0" applyNumberFormat="1" applyFont="1" applyFill="1" applyBorder="1"/>
    <xf numFmtId="2" fontId="3" fillId="0" borderId="0" xfId="0" applyNumberFormat="1" applyFont="1"/>
    <xf numFmtId="2" fontId="3" fillId="21" borderId="64" xfId="0" applyNumberFormat="1" applyFont="1" applyFill="1" applyBorder="1"/>
    <xf numFmtId="166" fontId="3" fillId="0" borderId="0" xfId="0" applyNumberFormat="1" applyFont="1"/>
    <xf numFmtId="164" fontId="3" fillId="10" borderId="64" xfId="0" applyNumberFormat="1" applyFont="1" applyFill="1" applyBorder="1"/>
    <xf numFmtId="2" fontId="3" fillId="21" borderId="69" xfId="0" applyNumberFormat="1" applyFont="1" applyFill="1" applyBorder="1"/>
    <xf numFmtId="0" fontId="12" fillId="10" borderId="23" xfId="0" applyFont="1" applyFill="1" applyBorder="1"/>
    <xf numFmtId="1" fontId="12" fillId="10" borderId="23" xfId="0" applyNumberFormat="1" applyFont="1" applyFill="1" applyBorder="1" applyAlignment="1">
      <alignment horizontal="center"/>
    </xf>
    <xf numFmtId="164" fontId="3" fillId="10" borderId="100" xfId="0" applyNumberFormat="1" applyFont="1" applyFill="1" applyBorder="1" applyAlignment="1">
      <alignment horizontal="center" vertical="center"/>
    </xf>
    <xf numFmtId="164" fontId="3" fillId="10" borderId="101" xfId="0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1" fontId="3" fillId="9" borderId="61" xfId="0" applyNumberFormat="1" applyFont="1" applyFill="1" applyBorder="1" applyAlignment="1">
      <alignment horizontal="center" vertical="center"/>
    </xf>
    <xf numFmtId="164" fontId="3" fillId="10" borderId="100" xfId="0" applyNumberFormat="1" applyFont="1" applyFill="1" applyBorder="1"/>
    <xf numFmtId="164" fontId="19" fillId="2" borderId="40" xfId="0" applyNumberFormat="1" applyFont="1" applyFill="1" applyBorder="1"/>
    <xf numFmtId="2" fontId="3" fillId="21" borderId="61" xfId="0" applyNumberFormat="1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/>
    </xf>
    <xf numFmtId="1" fontId="3" fillId="9" borderId="64" xfId="0" applyNumberFormat="1" applyFont="1" applyFill="1" applyBorder="1" applyAlignment="1">
      <alignment horizontal="center" vertical="center"/>
    </xf>
    <xf numFmtId="164" fontId="3" fillId="10" borderId="102" xfId="0" applyNumberFormat="1" applyFont="1" applyFill="1" applyBorder="1"/>
    <xf numFmtId="164" fontId="19" fillId="2" borderId="47" xfId="0" applyNumberFormat="1" applyFont="1" applyFill="1" applyBorder="1"/>
    <xf numFmtId="2" fontId="3" fillId="21" borderId="64" xfId="0" applyNumberFormat="1" applyFont="1" applyFill="1" applyBorder="1" applyAlignment="1">
      <alignment horizontal="center" vertical="center"/>
    </xf>
    <xf numFmtId="166" fontId="28" fillId="4" borderId="33" xfId="0" applyNumberFormat="1" applyFont="1" applyFill="1" applyBorder="1" applyAlignment="1">
      <alignment horizontal="center"/>
    </xf>
    <xf numFmtId="1" fontId="3" fillId="9" borderId="69" xfId="0" applyNumberFormat="1" applyFont="1" applyFill="1" applyBorder="1" applyAlignment="1">
      <alignment horizontal="center" vertical="center"/>
    </xf>
    <xf numFmtId="164" fontId="3" fillId="10" borderId="101" xfId="0" applyNumberFormat="1" applyFont="1" applyFill="1" applyBorder="1"/>
    <xf numFmtId="2" fontId="3" fillId="21" borderId="69" xfId="0" applyNumberFormat="1" applyFont="1" applyFill="1" applyBorder="1" applyAlignment="1">
      <alignment horizontal="center" vertical="center"/>
    </xf>
    <xf numFmtId="164" fontId="3" fillId="10" borderId="74" xfId="0" applyNumberFormat="1" applyFont="1" applyFill="1" applyBorder="1"/>
    <xf numFmtId="164" fontId="4" fillId="18" borderId="47" xfId="0" applyNumberFormat="1" applyFont="1" applyFill="1" applyBorder="1" applyAlignment="1">
      <alignment horizontal="center"/>
    </xf>
    <xf numFmtId="0" fontId="27" fillId="18" borderId="34" xfId="0" applyFont="1" applyFill="1" applyBorder="1" applyAlignment="1">
      <alignment horizontal="center" vertical="center"/>
    </xf>
    <xf numFmtId="166" fontId="4" fillId="18" borderId="97" xfId="0" applyNumberFormat="1" applyFont="1" applyFill="1" applyBorder="1" applyAlignment="1">
      <alignment horizontal="center"/>
    </xf>
    <xf numFmtId="10" fontId="16" fillId="18" borderId="46" xfId="0" applyNumberFormat="1" applyFont="1" applyFill="1" applyBorder="1" applyAlignment="1">
      <alignment horizontal="center"/>
    </xf>
    <xf numFmtId="164" fontId="19" fillId="2" borderId="48" xfId="0" applyNumberFormat="1" applyFont="1" applyFill="1" applyBorder="1"/>
    <xf numFmtId="1" fontId="13" fillId="10" borderId="74" xfId="0" applyNumberFormat="1" applyFont="1" applyFill="1" applyBorder="1" applyAlignment="1">
      <alignment horizontal="center"/>
    </xf>
    <xf numFmtId="164" fontId="13" fillId="10" borderId="74" xfId="0" applyNumberFormat="1" applyFont="1" applyFill="1" applyBorder="1" applyAlignment="1">
      <alignment horizontal="center"/>
    </xf>
    <xf numFmtId="164" fontId="6" fillId="10" borderId="74" xfId="0" applyNumberFormat="1" applyFont="1" applyFill="1" applyBorder="1" applyAlignment="1">
      <alignment horizontal="center"/>
    </xf>
    <xf numFmtId="10" fontId="6" fillId="10" borderId="74" xfId="0" applyNumberFormat="1" applyFont="1" applyFill="1" applyBorder="1" applyAlignment="1">
      <alignment horizontal="center"/>
    </xf>
    <xf numFmtId="2" fontId="3" fillId="21" borderId="45" xfId="0" applyNumberFormat="1" applyFont="1" applyFill="1" applyBorder="1" applyAlignment="1">
      <alignment horizontal="center" vertical="center"/>
    </xf>
    <xf numFmtId="10" fontId="26" fillId="5" borderId="21" xfId="0" applyNumberFormat="1" applyFont="1" applyFill="1" applyBorder="1" applyAlignment="1">
      <alignment horizontal="center" vertical="center"/>
    </xf>
    <xf numFmtId="170" fontId="26" fillId="2" borderId="21" xfId="0" applyNumberFormat="1" applyFont="1" applyFill="1" applyBorder="1" applyAlignment="1">
      <alignment horizontal="center" vertical="center"/>
    </xf>
    <xf numFmtId="0" fontId="12" fillId="15" borderId="23" xfId="0" applyFont="1" applyFill="1" applyBorder="1"/>
    <xf numFmtId="1" fontId="12" fillId="15" borderId="23" xfId="0" applyNumberFormat="1" applyFont="1" applyFill="1" applyBorder="1" applyAlignment="1">
      <alignment horizontal="center"/>
    </xf>
    <xf numFmtId="0" fontId="12" fillId="4" borderId="52" xfId="0" applyFont="1" applyFill="1" applyBorder="1" applyAlignment="1">
      <alignment horizontal="center" vertical="center"/>
    </xf>
    <xf numFmtId="0" fontId="41" fillId="8" borderId="21" xfId="0" applyFont="1" applyFill="1" applyBorder="1" applyAlignment="1">
      <alignment horizontal="center"/>
    </xf>
    <xf numFmtId="14" fontId="41" fillId="8" borderId="21" xfId="0" applyNumberFormat="1" applyFont="1" applyFill="1" applyBorder="1" applyAlignment="1">
      <alignment horizontal="right"/>
    </xf>
    <xf numFmtId="17" fontId="7" fillId="15" borderId="44" xfId="0" applyNumberFormat="1" applyFont="1" applyFill="1" applyBorder="1" applyAlignment="1">
      <alignment horizontal="center" vertical="center"/>
    </xf>
    <xf numFmtId="8" fontId="12" fillId="4" borderId="44" xfId="0" applyNumberFormat="1" applyFont="1" applyFill="1" applyBorder="1" applyAlignment="1">
      <alignment horizontal="center"/>
    </xf>
    <xf numFmtId="0" fontId="25" fillId="4" borderId="45" xfId="0" applyFont="1" applyFill="1" applyBorder="1" applyAlignment="1">
      <alignment horizontal="center"/>
    </xf>
    <xf numFmtId="0" fontId="3" fillId="2" borderId="21" xfId="0" applyFont="1" applyFill="1" applyBorder="1"/>
    <xf numFmtId="49" fontId="41" fillId="2" borderId="21" xfId="0" applyNumberFormat="1" applyFont="1" applyFill="1" applyBorder="1" applyAlignment="1">
      <alignment horizontal="center"/>
    </xf>
    <xf numFmtId="0" fontId="12" fillId="3" borderId="95" xfId="0" applyFont="1" applyFill="1" applyBorder="1" applyAlignment="1">
      <alignment horizontal="center" vertical="center"/>
    </xf>
    <xf numFmtId="0" fontId="12" fillId="25" borderId="74" xfId="0" applyFont="1" applyFill="1" applyBorder="1" applyAlignment="1">
      <alignment horizontal="center" vertical="center" wrapText="1"/>
    </xf>
    <xf numFmtId="8" fontId="12" fillId="4" borderId="69" xfId="0" applyNumberFormat="1" applyFont="1" applyFill="1" applyBorder="1" applyAlignment="1">
      <alignment horizontal="center"/>
    </xf>
    <xf numFmtId="0" fontId="12" fillId="2" borderId="31" xfId="0" applyFont="1" applyFill="1" applyBorder="1" applyAlignment="1">
      <alignment vertical="center"/>
    </xf>
    <xf numFmtId="0" fontId="12" fillId="0" borderId="30" xfId="0" applyFont="1" applyBorder="1" applyAlignment="1">
      <alignment horizontal="center" vertical="center"/>
    </xf>
    <xf numFmtId="0" fontId="12" fillId="5" borderId="31" xfId="0" applyFont="1" applyFill="1" applyBorder="1" applyAlignment="1">
      <alignment horizontal="center" vertical="center"/>
    </xf>
    <xf numFmtId="164" fontId="12" fillId="4" borderId="31" xfId="0" applyNumberFormat="1" applyFont="1" applyFill="1" applyBorder="1" applyAlignment="1">
      <alignment horizontal="center" vertical="center"/>
    </xf>
    <xf numFmtId="164" fontId="12" fillId="4" borderId="113" xfId="0" applyNumberFormat="1" applyFont="1" applyFill="1" applyBorder="1" applyAlignment="1">
      <alignment horizontal="center" vertical="center"/>
    </xf>
    <xf numFmtId="0" fontId="12" fillId="4" borderId="31" xfId="0" applyFont="1" applyFill="1" applyBorder="1" applyAlignment="1">
      <alignment horizontal="center" vertical="center"/>
    </xf>
    <xf numFmtId="0" fontId="12" fillId="25" borderId="31" xfId="0" applyFont="1" applyFill="1" applyBorder="1" applyAlignment="1">
      <alignment horizontal="center" vertical="center" wrapText="1"/>
    </xf>
    <xf numFmtId="0" fontId="12" fillId="25" borderId="23" xfId="0" applyFont="1" applyFill="1" applyBorder="1" applyAlignment="1">
      <alignment horizontal="center" vertical="center" wrapText="1"/>
    </xf>
    <xf numFmtId="0" fontId="12" fillId="21" borderId="23" xfId="0" applyFont="1" applyFill="1" applyBorder="1" applyAlignment="1">
      <alignment horizontal="center" vertical="center" wrapText="1"/>
    </xf>
    <xf numFmtId="0" fontId="12" fillId="4" borderId="23" xfId="0" applyFont="1" applyFill="1" applyBorder="1" applyAlignment="1">
      <alignment horizontal="center" vertical="center" wrapText="1"/>
    </xf>
    <xf numFmtId="164" fontId="12" fillId="4" borderId="23" xfId="0" applyNumberFormat="1" applyFont="1" applyFill="1" applyBorder="1" applyAlignment="1">
      <alignment horizontal="center" vertical="center"/>
    </xf>
    <xf numFmtId="164" fontId="12" fillId="4" borderId="23" xfId="0" applyNumberFormat="1" applyFont="1" applyFill="1" applyBorder="1" applyAlignment="1">
      <alignment horizontal="center" vertical="center" wrapText="1"/>
    </xf>
    <xf numFmtId="0" fontId="12" fillId="0" borderId="22" xfId="0" applyFont="1" applyBorder="1" applyAlignment="1">
      <alignment horizontal="center"/>
    </xf>
    <xf numFmtId="0" fontId="12" fillId="2" borderId="113" xfId="0" applyFont="1" applyFill="1" applyBorder="1" applyAlignment="1">
      <alignment horizontal="center"/>
    </xf>
    <xf numFmtId="0" fontId="42" fillId="2" borderId="113" xfId="0" applyFont="1" applyFill="1" applyBorder="1" applyAlignment="1">
      <alignment horizontal="center"/>
    </xf>
    <xf numFmtId="164" fontId="12" fillId="4" borderId="113" xfId="0" applyNumberFormat="1" applyFont="1" applyFill="1" applyBorder="1" applyAlignment="1">
      <alignment horizontal="center"/>
    </xf>
    <xf numFmtId="167" fontId="12" fillId="25" borderId="113" xfId="0" applyNumberFormat="1" applyFont="1" applyFill="1" applyBorder="1"/>
    <xf numFmtId="167" fontId="3" fillId="25" borderId="113" xfId="0" applyNumberFormat="1" applyFont="1" applyFill="1" applyBorder="1"/>
    <xf numFmtId="164" fontId="12" fillId="21" borderId="113" xfId="0" applyNumberFormat="1" applyFont="1" applyFill="1" applyBorder="1"/>
    <xf numFmtId="0" fontId="3" fillId="26" borderId="23" xfId="0" applyFont="1" applyFill="1" applyBorder="1"/>
    <xf numFmtId="164" fontId="12" fillId="13" borderId="23" xfId="0" applyNumberFormat="1" applyFont="1" applyFill="1" applyBorder="1"/>
    <xf numFmtId="165" fontId="12" fillId="17" borderId="23" xfId="0" applyNumberFormat="1" applyFont="1" applyFill="1" applyBorder="1" applyAlignment="1">
      <alignment horizontal="center"/>
    </xf>
    <xf numFmtId="0" fontId="12" fillId="27" borderId="114" xfId="0" applyFont="1" applyFill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3" fillId="27" borderId="36" xfId="0" applyFont="1" applyFill="1" applyBorder="1" applyAlignment="1">
      <alignment horizontal="center"/>
    </xf>
    <xf numFmtId="168" fontId="12" fillId="20" borderId="36" xfId="0" applyNumberFormat="1" applyFont="1" applyFill="1" applyBorder="1" applyAlignment="1">
      <alignment horizontal="center"/>
    </xf>
    <xf numFmtId="171" fontId="3" fillId="2" borderId="36" xfId="0" applyNumberFormat="1" applyFont="1" applyFill="1" applyBorder="1"/>
    <xf numFmtId="168" fontId="12" fillId="2" borderId="36" xfId="0" applyNumberFormat="1" applyFont="1" applyFill="1" applyBorder="1"/>
    <xf numFmtId="164" fontId="3" fillId="0" borderId="23" xfId="0" applyNumberFormat="1" applyFont="1" applyBorder="1"/>
    <xf numFmtId="164" fontId="3" fillId="2" borderId="36" xfId="0" applyNumberFormat="1" applyFont="1" applyFill="1" applyBorder="1"/>
    <xf numFmtId="166" fontId="3" fillId="0" borderId="36" xfId="0" applyNumberFormat="1" applyFont="1" applyBorder="1"/>
    <xf numFmtId="172" fontId="3" fillId="2" borderId="36" xfId="0" applyNumberFormat="1" applyFont="1" applyFill="1" applyBorder="1"/>
    <xf numFmtId="167" fontId="3" fillId="2" borderId="36" xfId="0" applyNumberFormat="1" applyFont="1" applyFill="1" applyBorder="1"/>
    <xf numFmtId="164" fontId="12" fillId="21" borderId="115" xfId="0" applyNumberFormat="1" applyFont="1" applyFill="1" applyBorder="1"/>
    <xf numFmtId="166" fontId="3" fillId="4" borderId="95" xfId="0" applyNumberFormat="1" applyFont="1" applyFill="1" applyBorder="1"/>
    <xf numFmtId="166" fontId="3" fillId="4" borderId="23" xfId="0" applyNumberFormat="1" applyFont="1" applyFill="1" applyBorder="1"/>
    <xf numFmtId="0" fontId="12" fillId="27" borderId="116" xfId="0" applyFont="1" applyFill="1" applyBorder="1" applyAlignment="1">
      <alignment horizontal="center"/>
    </xf>
    <xf numFmtId="0" fontId="12" fillId="0" borderId="23" xfId="0" applyFont="1" applyBorder="1" applyAlignment="1">
      <alignment horizontal="center"/>
    </xf>
    <xf numFmtId="0" fontId="3" fillId="27" borderId="23" xfId="0" applyFont="1" applyFill="1" applyBorder="1" applyAlignment="1">
      <alignment horizontal="center"/>
    </xf>
    <xf numFmtId="168" fontId="12" fillId="20" borderId="23" xfId="0" applyNumberFormat="1" applyFont="1" applyFill="1" applyBorder="1" applyAlignment="1">
      <alignment horizontal="center"/>
    </xf>
    <xf numFmtId="171" fontId="3" fillId="2" borderId="23" xfId="0" applyNumberFormat="1" applyFont="1" applyFill="1" applyBorder="1"/>
    <xf numFmtId="168" fontId="12" fillId="2" borderId="23" xfId="0" applyNumberFormat="1" applyFont="1" applyFill="1" applyBorder="1"/>
    <xf numFmtId="164" fontId="3" fillId="2" borderId="23" xfId="0" applyNumberFormat="1" applyFont="1" applyFill="1" applyBorder="1"/>
    <xf numFmtId="166" fontId="3" fillId="0" borderId="23" xfId="0" applyNumberFormat="1" applyFont="1" applyBorder="1"/>
    <xf numFmtId="172" fontId="3" fillId="2" borderId="23" xfId="0" applyNumberFormat="1" applyFont="1" applyFill="1" applyBorder="1"/>
    <xf numFmtId="167" fontId="3" fillId="2" borderId="23" xfId="0" applyNumberFormat="1" applyFont="1" applyFill="1" applyBorder="1"/>
    <xf numFmtId="167" fontId="3" fillId="2" borderId="31" xfId="0" applyNumberFormat="1" applyFont="1" applyFill="1" applyBorder="1"/>
    <xf numFmtId="164" fontId="12" fillId="21" borderId="117" xfId="0" applyNumberFormat="1" applyFont="1" applyFill="1" applyBorder="1"/>
    <xf numFmtId="168" fontId="12" fillId="20" borderId="31" xfId="0" applyNumberFormat="1" applyFont="1" applyFill="1" applyBorder="1" applyAlignment="1">
      <alignment horizontal="center"/>
    </xf>
    <xf numFmtId="171" fontId="3" fillId="2" borderId="31" xfId="0" applyNumberFormat="1" applyFont="1" applyFill="1" applyBorder="1"/>
    <xf numFmtId="166" fontId="3" fillId="0" borderId="30" xfId="0" applyNumberFormat="1" applyFont="1" applyBorder="1"/>
    <xf numFmtId="172" fontId="3" fillId="2" borderId="31" xfId="0" applyNumberFormat="1" applyFont="1" applyFill="1" applyBorder="1"/>
    <xf numFmtId="164" fontId="3" fillId="2" borderId="113" xfId="0" applyNumberFormat="1" applyFont="1" applyFill="1" applyBorder="1"/>
    <xf numFmtId="0" fontId="12" fillId="27" borderId="118" xfId="0" applyFont="1" applyFill="1" applyBorder="1" applyAlignment="1">
      <alignment horizontal="center"/>
    </xf>
    <xf numFmtId="0" fontId="12" fillId="0" borderId="32" xfId="0" applyFont="1" applyBorder="1" applyAlignment="1">
      <alignment horizontal="center"/>
    </xf>
    <xf numFmtId="168" fontId="12" fillId="20" borderId="14" xfId="0" applyNumberFormat="1" applyFont="1" applyFill="1" applyBorder="1" applyAlignment="1">
      <alignment horizontal="center"/>
    </xf>
    <xf numFmtId="171" fontId="3" fillId="2" borderId="14" xfId="0" applyNumberFormat="1" applyFont="1" applyFill="1" applyBorder="1"/>
    <xf numFmtId="168" fontId="12" fillId="2" borderId="32" xfId="0" applyNumberFormat="1" applyFont="1" applyFill="1" applyBorder="1"/>
    <xf numFmtId="164" fontId="3" fillId="0" borderId="32" xfId="0" applyNumberFormat="1" applyFont="1" applyBorder="1"/>
    <xf numFmtId="164" fontId="3" fillId="2" borderId="32" xfId="0" applyNumberFormat="1" applyFont="1" applyFill="1" applyBorder="1"/>
    <xf numFmtId="166" fontId="3" fillId="0" borderId="119" xfId="0" applyNumberFormat="1" applyFont="1" applyBorder="1"/>
    <xf numFmtId="172" fontId="3" fillId="2" borderId="14" xfId="0" applyNumberFormat="1" applyFont="1" applyFill="1" applyBorder="1"/>
    <xf numFmtId="167" fontId="3" fillId="2" borderId="32" xfId="0" applyNumberFormat="1" applyFont="1" applyFill="1" applyBorder="1"/>
    <xf numFmtId="167" fontId="3" fillId="2" borderId="14" xfId="0" applyNumberFormat="1" applyFont="1" applyFill="1" applyBorder="1"/>
    <xf numFmtId="164" fontId="12" fillId="21" borderId="15" xfId="0" applyNumberFormat="1" applyFont="1" applyFill="1" applyBorder="1"/>
    <xf numFmtId="0" fontId="12" fillId="22" borderId="114" xfId="0" applyFont="1" applyFill="1" applyBorder="1" applyAlignment="1">
      <alignment horizontal="center"/>
    </xf>
    <xf numFmtId="0" fontId="3" fillId="7" borderId="36" xfId="0" applyFont="1" applyFill="1" applyBorder="1" applyAlignment="1">
      <alignment horizontal="center"/>
    </xf>
    <xf numFmtId="168" fontId="12" fillId="4" borderId="36" xfId="0" applyNumberFormat="1" applyFont="1" applyFill="1" applyBorder="1" applyAlignment="1">
      <alignment horizontal="center"/>
    </xf>
    <xf numFmtId="164" fontId="3" fillId="0" borderId="85" xfId="0" applyNumberFormat="1" applyFont="1" applyBorder="1"/>
    <xf numFmtId="164" fontId="3" fillId="2" borderId="31" xfId="0" applyNumberFormat="1" applyFont="1" applyFill="1" applyBorder="1"/>
    <xf numFmtId="166" fontId="3" fillId="0" borderId="120" xfId="0" applyNumberFormat="1" applyFont="1" applyBorder="1"/>
    <xf numFmtId="0" fontId="12" fillId="22" borderId="116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168" fontId="12" fillId="7" borderId="31" xfId="0" applyNumberFormat="1" applyFont="1" applyFill="1" applyBorder="1" applyAlignment="1">
      <alignment horizontal="center"/>
    </xf>
    <xf numFmtId="164" fontId="3" fillId="0" borderId="27" xfId="0" applyNumberFormat="1" applyFont="1" applyBorder="1"/>
    <xf numFmtId="166" fontId="3" fillId="0" borderId="86" xfId="0" applyNumberFormat="1" applyFont="1" applyBorder="1"/>
    <xf numFmtId="0" fontId="12" fillId="27" borderId="23" xfId="0" applyFont="1" applyFill="1" applyBorder="1" applyAlignment="1">
      <alignment horizontal="center"/>
    </xf>
    <xf numFmtId="0" fontId="3" fillId="2" borderId="23" xfId="0" applyFont="1" applyFill="1" applyBorder="1"/>
    <xf numFmtId="0" fontId="12" fillId="22" borderId="118" xfId="0" applyFont="1" applyFill="1" applyBorder="1" applyAlignment="1">
      <alignment horizontal="center"/>
    </xf>
    <xf numFmtId="0" fontId="3" fillId="7" borderId="32" xfId="0" applyFont="1" applyFill="1" applyBorder="1" applyAlignment="1">
      <alignment horizontal="center"/>
    </xf>
    <xf numFmtId="0" fontId="12" fillId="27" borderId="32" xfId="0" applyFont="1" applyFill="1" applyBorder="1" applyAlignment="1">
      <alignment horizontal="center"/>
    </xf>
    <xf numFmtId="0" fontId="3" fillId="2" borderId="32" xfId="0" applyFont="1" applyFill="1" applyBorder="1"/>
    <xf numFmtId="0" fontId="3" fillId="20" borderId="21" xfId="0" applyFont="1" applyFill="1" applyBorder="1"/>
    <xf numFmtId="0" fontId="12" fillId="4" borderId="102" xfId="0" applyFont="1" applyFill="1" applyBorder="1" applyAlignment="1">
      <alignment horizontal="center"/>
    </xf>
    <xf numFmtId="0" fontId="12" fillId="0" borderId="29" xfId="0" applyFont="1" applyBorder="1" applyAlignment="1">
      <alignment horizontal="center"/>
    </xf>
    <xf numFmtId="0" fontId="12" fillId="20" borderId="23" xfId="0" applyFont="1" applyFill="1" applyBorder="1" applyAlignment="1">
      <alignment horizontal="center"/>
    </xf>
    <xf numFmtId="164" fontId="12" fillId="2" borderId="23" xfId="0" applyNumberFormat="1" applyFont="1" applyFill="1" applyBorder="1" applyAlignment="1">
      <alignment horizontal="center" vertical="center"/>
    </xf>
    <xf numFmtId="9" fontId="3" fillId="2" borderId="31" xfId="0" applyNumberFormat="1" applyFont="1" applyFill="1" applyBorder="1"/>
    <xf numFmtId="164" fontId="3" fillId="0" borderId="30" xfId="0" applyNumberFormat="1" applyFont="1" applyBorder="1"/>
    <xf numFmtId="164" fontId="12" fillId="21" borderId="23" xfId="0" applyNumberFormat="1" applyFont="1" applyFill="1" applyBorder="1"/>
    <xf numFmtId="9" fontId="3" fillId="0" borderId="0" xfId="0" applyNumberFormat="1" applyFont="1"/>
    <xf numFmtId="0" fontId="12" fillId="4" borderId="23" xfId="0" applyFont="1" applyFill="1" applyBorder="1" applyAlignment="1">
      <alignment horizontal="center"/>
    </xf>
    <xf numFmtId="0" fontId="3" fillId="2" borderId="31" xfId="0" applyFont="1" applyFill="1" applyBorder="1"/>
    <xf numFmtId="171" fontId="3" fillId="0" borderId="0" xfId="0" applyNumberFormat="1" applyFont="1"/>
    <xf numFmtId="168" fontId="3" fillId="0" borderId="0" xfId="0" applyNumberFormat="1" applyFont="1"/>
    <xf numFmtId="168" fontId="3" fillId="20" borderId="21" xfId="0" applyNumberFormat="1" applyFont="1" applyFill="1" applyBorder="1"/>
    <xf numFmtId="0" fontId="12" fillId="4" borderId="101" xfId="0" applyFont="1" applyFill="1" applyBorder="1" applyAlignment="1">
      <alignment horizontal="center"/>
    </xf>
    <xf numFmtId="0" fontId="12" fillId="12" borderId="100" xfId="0" applyFont="1" applyFill="1" applyBorder="1" applyAlignment="1">
      <alignment horizontal="center"/>
    </xf>
    <xf numFmtId="0" fontId="12" fillId="12" borderId="102" xfId="0" applyFont="1" applyFill="1" applyBorder="1" applyAlignment="1">
      <alignment horizontal="center"/>
    </xf>
    <xf numFmtId="0" fontId="12" fillId="12" borderId="69" xfId="0" applyFont="1" applyFill="1" applyBorder="1" applyAlignment="1">
      <alignment horizontal="center"/>
    </xf>
    <xf numFmtId="0" fontId="12" fillId="13" borderId="100" xfId="0" applyFont="1" applyFill="1" applyBorder="1" applyAlignment="1">
      <alignment horizontal="center"/>
    </xf>
    <xf numFmtId="0" fontId="12" fillId="13" borderId="102" xfId="0" applyFont="1" applyFill="1" applyBorder="1" applyAlignment="1">
      <alignment horizontal="center"/>
    </xf>
    <xf numFmtId="168" fontId="12" fillId="4" borderId="23" xfId="0" applyNumberFormat="1" applyFont="1" applyFill="1" applyBorder="1" applyAlignment="1">
      <alignment horizontal="center"/>
    </xf>
    <xf numFmtId="0" fontId="12" fillId="13" borderId="101" xfId="0" applyFont="1" applyFill="1" applyBorder="1" applyAlignment="1">
      <alignment horizontal="center"/>
    </xf>
    <xf numFmtId="0" fontId="12" fillId="8" borderId="100" xfId="0" applyFont="1" applyFill="1" applyBorder="1" applyAlignment="1">
      <alignment horizontal="center"/>
    </xf>
    <xf numFmtId="0" fontId="12" fillId="8" borderId="102" xfId="0" applyFont="1" applyFill="1" applyBorder="1" applyAlignment="1">
      <alignment horizontal="center"/>
    </xf>
    <xf numFmtId="0" fontId="12" fillId="8" borderId="101" xfId="0" applyFont="1" applyFill="1" applyBorder="1" applyAlignment="1">
      <alignment horizontal="center"/>
    </xf>
    <xf numFmtId="0" fontId="12" fillId="16" borderId="100" xfId="0" applyFont="1" applyFill="1" applyBorder="1" applyAlignment="1">
      <alignment horizontal="center"/>
    </xf>
    <xf numFmtId="0" fontId="12" fillId="16" borderId="102" xfId="0" applyFont="1" applyFill="1" applyBorder="1" applyAlignment="1">
      <alignment horizontal="center"/>
    </xf>
    <xf numFmtId="0" fontId="12" fillId="16" borderId="101" xfId="0" applyFont="1" applyFill="1" applyBorder="1" applyAlignment="1">
      <alignment horizontal="center"/>
    </xf>
    <xf numFmtId="0" fontId="12" fillId="17" borderId="100" xfId="0" applyFont="1" applyFill="1" applyBorder="1" applyAlignment="1">
      <alignment horizontal="center"/>
    </xf>
    <xf numFmtId="0" fontId="12" fillId="17" borderId="102" xfId="0" applyFont="1" applyFill="1" applyBorder="1" applyAlignment="1">
      <alignment horizontal="center"/>
    </xf>
    <xf numFmtId="0" fontId="12" fillId="17" borderId="69" xfId="0" applyFont="1" applyFill="1" applyBorder="1" applyAlignment="1">
      <alignment horizontal="center"/>
    </xf>
    <xf numFmtId="0" fontId="12" fillId="0" borderId="121" xfId="0" applyFont="1" applyBorder="1" applyAlignment="1">
      <alignment horizontal="center"/>
    </xf>
    <xf numFmtId="0" fontId="3" fillId="2" borderId="14" xfId="0" applyFont="1" applyFill="1" applyBorder="1"/>
    <xf numFmtId="168" fontId="12" fillId="2" borderId="14" xfId="0" applyNumberFormat="1" applyFont="1" applyFill="1" applyBorder="1"/>
    <xf numFmtId="0" fontId="3" fillId="9" borderId="31" xfId="0" applyFont="1" applyFill="1" applyBorder="1" applyAlignment="1">
      <alignment horizontal="center"/>
    </xf>
    <xf numFmtId="0" fontId="3" fillId="9" borderId="21" xfId="0" applyFont="1" applyFill="1" applyBorder="1" applyAlignment="1">
      <alignment horizontal="center"/>
    </xf>
    <xf numFmtId="0" fontId="43" fillId="9" borderId="31" xfId="0" applyFont="1" applyFill="1" applyBorder="1" applyAlignment="1">
      <alignment horizontal="center"/>
    </xf>
    <xf numFmtId="9" fontId="3" fillId="9" borderId="31" xfId="0" applyNumberFormat="1" applyFont="1" applyFill="1" applyBorder="1" applyAlignment="1">
      <alignment horizontal="center"/>
    </xf>
    <xf numFmtId="9" fontId="3" fillId="9" borderId="21" xfId="0" applyNumberFormat="1" applyFont="1" applyFill="1" applyBorder="1" applyAlignment="1">
      <alignment horizontal="center"/>
    </xf>
    <xf numFmtId="0" fontId="12" fillId="8" borderId="95" xfId="0" applyFont="1" applyFill="1" applyBorder="1" applyAlignment="1">
      <alignment horizontal="center"/>
    </xf>
    <xf numFmtId="0" fontId="12" fillId="2" borderId="23" xfId="0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/>
    </xf>
    <xf numFmtId="171" fontId="3" fillId="2" borderId="23" xfId="0" applyNumberFormat="1" applyFont="1" applyFill="1" applyBorder="1" applyAlignment="1">
      <alignment horizontal="center"/>
    </xf>
    <xf numFmtId="168" fontId="12" fillId="27" borderId="23" xfId="0" applyNumberFormat="1" applyFont="1" applyFill="1" applyBorder="1" applyAlignment="1">
      <alignment horizontal="center"/>
    </xf>
    <xf numFmtId="164" fontId="3" fillId="2" borderId="23" xfId="0" applyNumberFormat="1" applyFont="1" applyFill="1" applyBorder="1" applyAlignment="1">
      <alignment horizontal="center"/>
    </xf>
    <xf numFmtId="166" fontId="3" fillId="0" borderId="23" xfId="0" applyNumberFormat="1" applyFont="1" applyBorder="1" applyAlignment="1">
      <alignment horizontal="center"/>
    </xf>
    <xf numFmtId="167" fontId="3" fillId="2" borderId="23" xfId="0" applyNumberFormat="1" applyFont="1" applyFill="1" applyBorder="1" applyAlignment="1">
      <alignment horizontal="center"/>
    </xf>
    <xf numFmtId="167" fontId="3" fillId="2" borderId="31" xfId="0" applyNumberFormat="1" applyFont="1" applyFill="1" applyBorder="1" applyAlignment="1">
      <alignment horizontal="center"/>
    </xf>
    <xf numFmtId="173" fontId="12" fillId="27" borderId="31" xfId="0" applyNumberFormat="1" applyFont="1" applyFill="1" applyBorder="1"/>
    <xf numFmtId="9" fontId="3" fillId="0" borderId="23" xfId="0" applyNumberFormat="1" applyFont="1" applyBorder="1" applyAlignment="1">
      <alignment horizontal="center"/>
    </xf>
    <xf numFmtId="164" fontId="12" fillId="28" borderId="23" xfId="0" applyNumberFormat="1" applyFont="1" applyFill="1" applyBorder="1"/>
    <xf numFmtId="0" fontId="3" fillId="0" borderId="23" xfId="0" applyFont="1" applyBorder="1"/>
    <xf numFmtId="171" fontId="3" fillId="2" borderId="31" xfId="0" applyNumberFormat="1" applyFont="1" applyFill="1" applyBorder="1" applyAlignment="1">
      <alignment horizontal="center"/>
    </xf>
    <xf numFmtId="9" fontId="3" fillId="0" borderId="23" xfId="0" applyNumberFormat="1" applyFont="1" applyBorder="1"/>
    <xf numFmtId="174" fontId="12" fillId="28" borderId="23" xfId="0" applyNumberFormat="1" applyFont="1" applyFill="1" applyBorder="1" applyAlignment="1">
      <alignment horizontal="center" vertical="center"/>
    </xf>
    <xf numFmtId="174" fontId="12" fillId="28" borderId="23" xfId="0" applyNumberFormat="1" applyFont="1" applyFill="1" applyBorder="1" applyAlignment="1">
      <alignment vertical="center"/>
    </xf>
    <xf numFmtId="0" fontId="12" fillId="13" borderId="23" xfId="0" applyFont="1" applyFill="1" applyBorder="1" applyAlignment="1">
      <alignment horizontal="center"/>
    </xf>
    <xf numFmtId="171" fontId="3" fillId="2" borderId="122" xfId="0" applyNumberFormat="1" applyFont="1" applyFill="1" applyBorder="1" applyAlignment="1">
      <alignment horizontal="center"/>
    </xf>
    <xf numFmtId="168" fontId="12" fillId="27" borderId="113" xfId="0" applyNumberFormat="1" applyFont="1" applyFill="1" applyBorder="1" applyAlignment="1">
      <alignment horizontal="center"/>
    </xf>
    <xf numFmtId="0" fontId="12" fillId="8" borderId="123" xfId="0" applyFont="1" applyFill="1" applyBorder="1" applyAlignment="1">
      <alignment horizontal="center"/>
    </xf>
    <xf numFmtId="0" fontId="3" fillId="2" borderId="124" xfId="0" applyFont="1" applyFill="1" applyBorder="1" applyAlignment="1">
      <alignment horizontal="center"/>
    </xf>
    <xf numFmtId="164" fontId="3" fillId="2" borderId="95" xfId="0" applyNumberFormat="1" applyFont="1" applyFill="1" applyBorder="1" applyAlignment="1">
      <alignment horizontal="center"/>
    </xf>
    <xf numFmtId="0" fontId="12" fillId="12" borderId="23" xfId="0" applyFont="1" applyFill="1" applyBorder="1" applyAlignment="1">
      <alignment horizontal="center"/>
    </xf>
    <xf numFmtId="165" fontId="3" fillId="0" borderId="0" xfId="0" applyNumberFormat="1" applyFont="1"/>
    <xf numFmtId="0" fontId="12" fillId="23" borderId="21" xfId="0" applyFont="1" applyFill="1" applyBorder="1" applyAlignment="1">
      <alignment horizontal="center"/>
    </xf>
    <xf numFmtId="0" fontId="12" fillId="2" borderId="21" xfId="0" applyFont="1" applyFill="1" applyBorder="1" applyAlignment="1">
      <alignment horizontal="center"/>
    </xf>
    <xf numFmtId="0" fontId="3" fillId="2" borderId="21" xfId="0" applyFont="1" applyFill="1" applyBorder="1" applyAlignment="1">
      <alignment horizontal="center"/>
    </xf>
    <xf numFmtId="171" fontId="3" fillId="2" borderId="21" xfId="0" applyNumberFormat="1" applyFont="1" applyFill="1" applyBorder="1" applyAlignment="1">
      <alignment horizontal="center"/>
    </xf>
    <xf numFmtId="168" fontId="12" fillId="23" borderId="21" xfId="0" applyNumberFormat="1" applyFont="1" applyFill="1" applyBorder="1" applyAlignment="1">
      <alignment horizontal="center"/>
    </xf>
    <xf numFmtId="164" fontId="3" fillId="2" borderId="21" xfId="0" applyNumberFormat="1" applyFont="1" applyFill="1" applyBorder="1" applyAlignment="1">
      <alignment horizontal="center"/>
    </xf>
    <xf numFmtId="166" fontId="3" fillId="0" borderId="0" xfId="0" applyNumberFormat="1" applyFont="1" applyAlignment="1">
      <alignment horizontal="center"/>
    </xf>
    <xf numFmtId="9" fontId="3" fillId="2" borderId="21" xfId="0" applyNumberFormat="1" applyFont="1" applyFill="1" applyBorder="1" applyAlignment="1">
      <alignment horizontal="center"/>
    </xf>
    <xf numFmtId="173" fontId="12" fillId="23" borderId="21" xfId="0" applyNumberFormat="1" applyFont="1" applyFill="1" applyBorder="1"/>
    <xf numFmtId="174" fontId="12" fillId="28" borderId="21" xfId="0" applyNumberFormat="1" applyFont="1" applyFill="1" applyBorder="1" applyAlignment="1">
      <alignment horizontal="center" vertical="center"/>
    </xf>
    <xf numFmtId="174" fontId="12" fillId="28" borderId="21" xfId="0" applyNumberFormat="1" applyFont="1" applyFill="1" applyBorder="1" applyAlignment="1">
      <alignment vertical="center"/>
    </xf>
    <xf numFmtId="0" fontId="12" fillId="2" borderId="23" xfId="0" applyFont="1" applyFill="1" applyBorder="1" applyAlignment="1">
      <alignment horizontal="center" vertical="center"/>
    </xf>
    <xf numFmtId="173" fontId="12" fillId="27" borderId="23" xfId="0" applyNumberFormat="1" applyFont="1" applyFill="1" applyBorder="1"/>
    <xf numFmtId="0" fontId="12" fillId="7" borderId="23" xfId="0" applyFont="1" applyFill="1" applyBorder="1" applyAlignment="1">
      <alignment horizontal="center"/>
    </xf>
    <xf numFmtId="0" fontId="12" fillId="0" borderId="23" xfId="0" applyFont="1" applyBorder="1" applyAlignment="1">
      <alignment horizontal="center" vertical="center"/>
    </xf>
    <xf numFmtId="0" fontId="3" fillId="27" borderId="23" xfId="0" applyFont="1" applyFill="1" applyBorder="1"/>
    <xf numFmtId="0" fontId="12" fillId="23" borderId="23" xfId="0" applyFont="1" applyFill="1" applyBorder="1" applyAlignment="1">
      <alignment horizontal="center"/>
    </xf>
    <xf numFmtId="0" fontId="12" fillId="19" borderId="23" xfId="0" applyFont="1" applyFill="1" applyBorder="1" applyAlignment="1">
      <alignment horizontal="center"/>
    </xf>
    <xf numFmtId="0" fontId="12" fillId="21" borderId="23" xfId="0" applyFont="1" applyFill="1" applyBorder="1" applyAlignment="1">
      <alignment horizontal="center"/>
    </xf>
    <xf numFmtId="10" fontId="3" fillId="19" borderId="122" xfId="0" applyNumberFormat="1" applyFont="1" applyFill="1" applyBorder="1" applyAlignment="1">
      <alignment horizontal="center"/>
    </xf>
    <xf numFmtId="10" fontId="3" fillId="21" borderId="122" xfId="0" applyNumberFormat="1" applyFont="1" applyFill="1" applyBorder="1" applyAlignment="1">
      <alignment horizontal="center"/>
    </xf>
    <xf numFmtId="0" fontId="12" fillId="0" borderId="30" xfId="0" applyFont="1" applyBorder="1" applyAlignment="1">
      <alignment horizontal="center"/>
    </xf>
    <xf numFmtId="175" fontId="12" fillId="2" borderId="23" xfId="0" applyNumberFormat="1" applyFont="1" applyFill="1" applyBorder="1" applyAlignment="1">
      <alignment horizontal="center"/>
    </xf>
    <xf numFmtId="0" fontId="3" fillId="19" borderId="23" xfId="0" applyFont="1" applyFill="1" applyBorder="1" applyAlignment="1">
      <alignment horizontal="center"/>
    </xf>
    <xf numFmtId="176" fontId="3" fillId="21" borderId="23" xfId="0" applyNumberFormat="1" applyFont="1" applyFill="1" applyBorder="1" applyAlignment="1">
      <alignment horizontal="center"/>
    </xf>
    <xf numFmtId="0" fontId="3" fillId="30" borderId="21" xfId="0" applyFont="1" applyFill="1" applyBorder="1"/>
    <xf numFmtId="0" fontId="12" fillId="22" borderId="23" xfId="0" applyFont="1" applyFill="1" applyBorder="1" applyAlignment="1">
      <alignment horizontal="center"/>
    </xf>
    <xf numFmtId="164" fontId="12" fillId="0" borderId="23" xfId="0" applyNumberFormat="1" applyFont="1" applyBorder="1" applyAlignment="1">
      <alignment horizontal="center"/>
    </xf>
    <xf numFmtId="0" fontId="3" fillId="22" borderId="23" xfId="0" applyFont="1" applyFill="1" applyBorder="1" applyAlignment="1">
      <alignment horizontal="center"/>
    </xf>
    <xf numFmtId="10" fontId="3" fillId="0" borderId="23" xfId="0" applyNumberFormat="1" applyFont="1" applyBorder="1" applyAlignment="1">
      <alignment horizontal="center"/>
    </xf>
    <xf numFmtId="0" fontId="12" fillId="2" borderId="122" xfId="0" applyFont="1" applyFill="1" applyBorder="1" applyAlignment="1">
      <alignment horizontal="center"/>
    </xf>
    <xf numFmtId="177" fontId="3" fillId="0" borderId="0" xfId="0" applyNumberFormat="1" applyFont="1"/>
    <xf numFmtId="0" fontId="3" fillId="0" borderId="70" xfId="0" applyFont="1" applyBorder="1"/>
    <xf numFmtId="0" fontId="3" fillId="2" borderId="31" xfId="0" applyFont="1" applyFill="1" applyBorder="1" applyAlignment="1">
      <alignment horizontal="center"/>
    </xf>
    <xf numFmtId="0" fontId="12" fillId="2" borderId="31" xfId="0" applyFont="1" applyFill="1" applyBorder="1" applyAlignment="1">
      <alignment horizontal="center"/>
    </xf>
    <xf numFmtId="178" fontId="3" fillId="19" borderId="23" xfId="0" applyNumberFormat="1" applyFont="1" applyFill="1" applyBorder="1" applyAlignment="1">
      <alignment horizontal="center"/>
    </xf>
    <xf numFmtId="0" fontId="12" fillId="2" borderId="21" xfId="0" applyFont="1" applyFill="1" applyBorder="1"/>
    <xf numFmtId="164" fontId="12" fillId="2" borderId="21" xfId="0" applyNumberFormat="1" applyFont="1" applyFill="1" applyBorder="1"/>
    <xf numFmtId="0" fontId="12" fillId="2" borderId="21" xfId="0" applyFont="1" applyFill="1" applyBorder="1" applyAlignment="1">
      <alignment horizontal="center" wrapText="1"/>
    </xf>
    <xf numFmtId="8" fontId="12" fillId="2" borderId="21" xfId="0" applyNumberFormat="1" applyFont="1" applyFill="1" applyBorder="1"/>
    <xf numFmtId="0" fontId="3" fillId="2" borderId="21" xfId="0" quotePrefix="1" applyFont="1" applyFill="1" applyBorder="1"/>
    <xf numFmtId="0" fontId="12" fillId="7" borderId="130" xfId="0" applyFont="1" applyFill="1" applyBorder="1" applyAlignment="1">
      <alignment horizontal="center" vertical="center"/>
    </xf>
    <xf numFmtId="17" fontId="7" fillId="14" borderId="21" xfId="0" applyNumberFormat="1" applyFont="1" applyFill="1" applyBorder="1" applyAlignment="1">
      <alignment horizontal="center" vertical="center"/>
    </xf>
    <xf numFmtId="0" fontId="12" fillId="15" borderId="23" xfId="0" applyFont="1" applyFill="1" applyBorder="1" applyAlignment="1">
      <alignment horizontal="center" vertical="center"/>
    </xf>
    <xf numFmtId="0" fontId="12" fillId="2" borderId="21" xfId="0" applyFont="1" applyFill="1" applyBorder="1" applyAlignment="1">
      <alignment horizontal="center" vertical="center"/>
    </xf>
    <xf numFmtId="0" fontId="12" fillId="5" borderId="23" xfId="0" applyFont="1" applyFill="1" applyBorder="1" applyAlignment="1">
      <alignment horizontal="center" vertical="center"/>
    </xf>
    <xf numFmtId="164" fontId="12" fillId="15" borderId="23" xfId="0" applyNumberFormat="1" applyFont="1" applyFill="1" applyBorder="1" applyAlignment="1">
      <alignment horizontal="center" vertical="center"/>
    </xf>
    <xf numFmtId="164" fontId="12" fillId="15" borderId="113" xfId="0" applyNumberFormat="1" applyFont="1" applyFill="1" applyBorder="1"/>
    <xf numFmtId="0" fontId="12" fillId="15" borderId="23" xfId="0" applyFont="1" applyFill="1" applyBorder="1" applyAlignment="1">
      <alignment horizontal="center" vertical="center" wrapText="1"/>
    </xf>
    <xf numFmtId="0" fontId="3" fillId="21" borderId="124" xfId="0" applyFont="1" applyFill="1" applyBorder="1" applyAlignment="1">
      <alignment horizontal="center" vertical="center" wrapText="1"/>
    </xf>
    <xf numFmtId="0" fontId="12" fillId="0" borderId="23" xfId="0" applyFont="1" applyBorder="1" applyAlignment="1">
      <alignment horizontal="center" vertical="center" wrapText="1"/>
    </xf>
    <xf numFmtId="164" fontId="12" fillId="28" borderId="23" xfId="0" applyNumberFormat="1" applyFont="1" applyFill="1" applyBorder="1" applyAlignment="1">
      <alignment horizontal="center" vertical="center"/>
    </xf>
    <xf numFmtId="164" fontId="12" fillId="15" borderId="113" xfId="0" applyNumberFormat="1" applyFont="1" applyFill="1" applyBorder="1" applyAlignment="1">
      <alignment horizontal="center"/>
    </xf>
    <xf numFmtId="164" fontId="3" fillId="15" borderId="113" xfId="0" applyNumberFormat="1" applyFont="1" applyFill="1" applyBorder="1"/>
    <xf numFmtId="167" fontId="3" fillId="15" borderId="113" xfId="0" applyNumberFormat="1" applyFont="1" applyFill="1" applyBorder="1"/>
    <xf numFmtId="164" fontId="12" fillId="21" borderId="130" xfId="0" applyNumberFormat="1" applyFont="1" applyFill="1" applyBorder="1"/>
    <xf numFmtId="165" fontId="12" fillId="28" borderId="23" xfId="0" applyNumberFormat="1" applyFont="1" applyFill="1" applyBorder="1"/>
    <xf numFmtId="168" fontId="12" fillId="28" borderId="31" xfId="0" applyNumberFormat="1" applyFont="1" applyFill="1" applyBorder="1" applyAlignment="1">
      <alignment horizontal="center"/>
    </xf>
    <xf numFmtId="168" fontId="3" fillId="2" borderId="31" xfId="0" applyNumberFormat="1" applyFont="1" applyFill="1" applyBorder="1"/>
    <xf numFmtId="168" fontId="12" fillId="2" borderId="31" xfId="0" applyNumberFormat="1" applyFont="1" applyFill="1" applyBorder="1"/>
    <xf numFmtId="164" fontId="12" fillId="21" borderId="31" xfId="0" applyNumberFormat="1" applyFont="1" applyFill="1" applyBorder="1"/>
    <xf numFmtId="165" fontId="3" fillId="0" borderId="30" xfId="0" applyNumberFormat="1" applyFont="1" applyBorder="1"/>
    <xf numFmtId="164" fontId="12" fillId="28" borderId="31" xfId="0" applyNumberFormat="1" applyFont="1" applyFill="1" applyBorder="1"/>
    <xf numFmtId="165" fontId="3" fillId="0" borderId="23" xfId="0" applyNumberFormat="1" applyFont="1" applyBorder="1"/>
    <xf numFmtId="0" fontId="12" fillId="0" borderId="23" xfId="0" applyFont="1" applyBorder="1" applyAlignment="1">
      <alignment horizontal="center" vertical="center" textRotation="90"/>
    </xf>
    <xf numFmtId="168" fontId="12" fillId="21" borderId="31" xfId="0" applyNumberFormat="1" applyFont="1" applyFill="1" applyBorder="1" applyAlignment="1">
      <alignment horizontal="center"/>
    </xf>
    <xf numFmtId="168" fontId="12" fillId="7" borderId="23" xfId="0" applyNumberFormat="1" applyFont="1" applyFill="1" applyBorder="1" applyAlignment="1">
      <alignment horizontal="center"/>
    </xf>
    <xf numFmtId="178" fontId="3" fillId="2" borderId="31" xfId="0" applyNumberFormat="1" applyFont="1" applyFill="1" applyBorder="1"/>
    <xf numFmtId="0" fontId="3" fillId="2" borderId="95" xfId="0" applyFont="1" applyFill="1" applyBorder="1"/>
    <xf numFmtId="179" fontId="3" fillId="0" borderId="23" xfId="0" applyNumberFormat="1" applyFont="1" applyBorder="1"/>
    <xf numFmtId="0" fontId="3" fillId="0" borderId="27" xfId="0" applyFont="1" applyBorder="1" applyAlignment="1">
      <alignment horizontal="center"/>
    </xf>
    <xf numFmtId="0" fontId="12" fillId="2" borderId="130" xfId="0" applyFont="1" applyFill="1" applyBorder="1" applyAlignment="1">
      <alignment horizontal="center"/>
    </xf>
    <xf numFmtId="0" fontId="12" fillId="2" borderId="131" xfId="0" applyFont="1" applyFill="1" applyBorder="1" applyAlignment="1">
      <alignment horizontal="center"/>
    </xf>
    <xf numFmtId="9" fontId="3" fillId="0" borderId="0" xfId="0" applyNumberFormat="1" applyFont="1" applyAlignment="1">
      <alignment horizontal="center"/>
    </xf>
    <xf numFmtId="0" fontId="12" fillId="2" borderId="132" xfId="0" applyFont="1" applyFill="1" applyBorder="1" applyAlignment="1">
      <alignment horizontal="center"/>
    </xf>
    <xf numFmtId="0" fontId="7" fillId="29" borderId="21" xfId="0" applyFont="1" applyFill="1" applyBorder="1" applyAlignment="1">
      <alignment horizontal="center" vertical="center"/>
    </xf>
    <xf numFmtId="0" fontId="3" fillId="30" borderId="21" xfId="0" applyFont="1" applyFill="1" applyBorder="1" applyAlignment="1">
      <alignment horizontal="center"/>
    </xf>
    <xf numFmtId="180" fontId="12" fillId="2" borderId="113" xfId="0" applyNumberFormat="1" applyFont="1" applyFill="1" applyBorder="1" applyAlignment="1">
      <alignment horizontal="center"/>
    </xf>
    <xf numFmtId="168" fontId="12" fillId="2" borderId="23" xfId="0" applyNumberFormat="1" applyFont="1" applyFill="1" applyBorder="1" applyAlignment="1">
      <alignment horizontal="center"/>
    </xf>
    <xf numFmtId="171" fontId="3" fillId="19" borderId="23" xfId="0" applyNumberFormat="1" applyFont="1" applyFill="1" applyBorder="1" applyAlignment="1">
      <alignment horizontal="center"/>
    </xf>
    <xf numFmtId="178" fontId="12" fillId="2" borderId="23" xfId="0" applyNumberFormat="1" applyFont="1" applyFill="1" applyBorder="1" applyAlignment="1">
      <alignment horizontal="center"/>
    </xf>
    <xf numFmtId="17" fontId="7" fillId="14" borderId="44" xfId="0" applyNumberFormat="1" applyFont="1" applyFill="1" applyBorder="1" applyAlignment="1">
      <alignment horizontal="center" vertical="center"/>
    </xf>
    <xf numFmtId="0" fontId="12" fillId="15" borderId="45" xfId="0" applyFont="1" applyFill="1" applyBorder="1" applyAlignment="1">
      <alignment horizontal="center" vertical="center"/>
    </xf>
    <xf numFmtId="8" fontId="12" fillId="4" borderId="45" xfId="0" applyNumberFormat="1" applyFont="1" applyFill="1" applyBorder="1" applyAlignment="1">
      <alignment horizontal="center" vertical="center"/>
    </xf>
    <xf numFmtId="164" fontId="12" fillId="15" borderId="122" xfId="0" applyNumberFormat="1" applyFont="1" applyFill="1" applyBorder="1"/>
    <xf numFmtId="0" fontId="12" fillId="15" borderId="31" xfId="0" applyFont="1" applyFill="1" applyBorder="1" applyAlignment="1">
      <alignment horizontal="center" vertical="center"/>
    </xf>
    <xf numFmtId="0" fontId="12" fillId="0" borderId="114" xfId="0" applyFont="1" applyBorder="1" applyAlignment="1">
      <alignment horizontal="center"/>
    </xf>
    <xf numFmtId="168" fontId="12" fillId="7" borderId="36" xfId="0" applyNumberFormat="1" applyFont="1" applyFill="1" applyBorder="1" applyAlignment="1">
      <alignment horizontal="center"/>
    </xf>
    <xf numFmtId="168" fontId="3" fillId="2" borderId="36" xfId="0" applyNumberFormat="1" applyFont="1" applyFill="1" applyBorder="1"/>
    <xf numFmtId="164" fontId="3" fillId="0" borderId="36" xfId="0" applyNumberFormat="1" applyFont="1" applyBorder="1"/>
    <xf numFmtId="167" fontId="3" fillId="2" borderId="115" xfId="0" applyNumberFormat="1" applyFont="1" applyFill="1" applyBorder="1"/>
    <xf numFmtId="164" fontId="12" fillId="21" borderId="133" xfId="0" applyNumberFormat="1" applyFont="1" applyFill="1" applyBorder="1"/>
    <xf numFmtId="0" fontId="12" fillId="0" borderId="134" xfId="0" applyFont="1" applyBorder="1" applyAlignment="1">
      <alignment horizontal="center"/>
    </xf>
    <xf numFmtId="167" fontId="3" fillId="2" borderId="135" xfId="0" applyNumberFormat="1" applyFont="1" applyFill="1" applyBorder="1"/>
    <xf numFmtId="0" fontId="12" fillId="0" borderId="116" xfId="0" applyFont="1" applyBorder="1" applyAlignment="1">
      <alignment horizontal="center"/>
    </xf>
    <xf numFmtId="0" fontId="12" fillId="7" borderId="31" xfId="0" applyFont="1" applyFill="1" applyBorder="1" applyAlignment="1">
      <alignment horizontal="center"/>
    </xf>
    <xf numFmtId="0" fontId="12" fillId="0" borderId="118" xfId="0" applyFont="1" applyBorder="1" applyAlignment="1">
      <alignment horizontal="center"/>
    </xf>
    <xf numFmtId="0" fontId="12" fillId="7" borderId="14" xfId="0" applyFont="1" applyFill="1" applyBorder="1" applyAlignment="1">
      <alignment horizontal="center"/>
    </xf>
    <xf numFmtId="168" fontId="12" fillId="7" borderId="14" xfId="0" applyNumberFormat="1" applyFont="1" applyFill="1" applyBorder="1" applyAlignment="1">
      <alignment horizontal="center"/>
    </xf>
    <xf numFmtId="168" fontId="3" fillId="2" borderId="14" xfId="0" applyNumberFormat="1" applyFont="1" applyFill="1" applyBorder="1"/>
    <xf numFmtId="167" fontId="3" fillId="2" borderId="136" xfId="0" applyNumberFormat="1" applyFont="1" applyFill="1" applyBorder="1"/>
    <xf numFmtId="0" fontId="12" fillId="7" borderId="36" xfId="0" applyFont="1" applyFill="1" applyBorder="1" applyAlignment="1">
      <alignment horizontal="center"/>
    </xf>
    <xf numFmtId="2" fontId="12" fillId="7" borderId="36" xfId="0" applyNumberFormat="1" applyFont="1" applyFill="1" applyBorder="1" applyAlignment="1">
      <alignment horizontal="center"/>
    </xf>
    <xf numFmtId="178" fontId="3" fillId="2" borderId="36" xfId="0" applyNumberFormat="1" applyFont="1" applyFill="1" applyBorder="1"/>
    <xf numFmtId="179" fontId="3" fillId="0" borderId="36" xfId="0" applyNumberFormat="1" applyFont="1" applyBorder="1"/>
    <xf numFmtId="2" fontId="12" fillId="7" borderId="23" xfId="0" applyNumberFormat="1" applyFont="1" applyFill="1" applyBorder="1" applyAlignment="1">
      <alignment horizontal="center"/>
    </xf>
    <xf numFmtId="0" fontId="12" fillId="0" borderId="137" xfId="0" applyFont="1" applyBorder="1" applyAlignment="1">
      <alignment horizontal="center"/>
    </xf>
    <xf numFmtId="0" fontId="12" fillId="7" borderId="113" xfId="0" applyFont="1" applyFill="1" applyBorder="1" applyAlignment="1">
      <alignment horizontal="center"/>
    </xf>
    <xf numFmtId="2" fontId="12" fillId="7" borderId="113" xfId="0" applyNumberFormat="1" applyFont="1" applyFill="1" applyBorder="1" applyAlignment="1">
      <alignment horizontal="center"/>
    </xf>
    <xf numFmtId="178" fontId="3" fillId="2" borderId="122" xfId="0" applyNumberFormat="1" applyFont="1" applyFill="1" applyBorder="1"/>
    <xf numFmtId="171" fontId="3" fillId="2" borderId="122" xfId="0" applyNumberFormat="1" applyFont="1" applyFill="1" applyBorder="1"/>
    <xf numFmtId="168" fontId="12" fillId="2" borderId="122" xfId="0" applyNumberFormat="1" applyFont="1" applyFill="1" applyBorder="1"/>
    <xf numFmtId="164" fontId="3" fillId="0" borderId="22" xfId="0" applyNumberFormat="1" applyFont="1" applyBorder="1"/>
    <xf numFmtId="179" fontId="3" fillId="0" borderId="22" xfId="0" applyNumberFormat="1" applyFont="1" applyBorder="1"/>
    <xf numFmtId="172" fontId="3" fillId="2" borderId="122" xfId="0" applyNumberFormat="1" applyFont="1" applyFill="1" applyBorder="1"/>
    <xf numFmtId="167" fontId="3" fillId="2" borderId="138" xfId="0" applyNumberFormat="1" applyFont="1" applyFill="1" applyBorder="1"/>
    <xf numFmtId="164" fontId="12" fillId="21" borderId="97" xfId="0" applyNumberFormat="1" applyFont="1" applyFill="1" applyBorder="1"/>
    <xf numFmtId="0" fontId="3" fillId="2" borderId="93" xfId="0" applyFont="1" applyFill="1" applyBorder="1"/>
    <xf numFmtId="164" fontId="12" fillId="21" borderId="139" xfId="0" applyNumberFormat="1" applyFont="1" applyFill="1" applyBorder="1"/>
    <xf numFmtId="9" fontId="3" fillId="0" borderId="29" xfId="0" applyNumberFormat="1" applyFont="1" applyBorder="1"/>
    <xf numFmtId="164" fontId="12" fillId="21" borderId="140" xfId="0" applyNumberFormat="1" applyFont="1" applyFill="1" applyBorder="1"/>
    <xf numFmtId="0" fontId="12" fillId="7" borderId="32" xfId="0" applyFont="1" applyFill="1" applyBorder="1" applyAlignment="1">
      <alignment horizontal="center"/>
    </xf>
    <xf numFmtId="2" fontId="12" fillId="7" borderId="32" xfId="0" applyNumberFormat="1" applyFont="1" applyFill="1" applyBorder="1" applyAlignment="1">
      <alignment horizontal="center"/>
    </xf>
    <xf numFmtId="178" fontId="3" fillId="2" borderId="14" xfId="0" applyNumberFormat="1" applyFont="1" applyFill="1" applyBorder="1"/>
    <xf numFmtId="0" fontId="3" fillId="2" borderId="141" xfId="0" applyFont="1" applyFill="1" applyBorder="1"/>
    <xf numFmtId="179" fontId="3" fillId="0" borderId="32" xfId="0" applyNumberFormat="1" applyFont="1" applyBorder="1"/>
    <xf numFmtId="164" fontId="12" fillId="21" borderId="49" xfId="0" applyNumberFormat="1" applyFont="1" applyFill="1" applyBorder="1"/>
    <xf numFmtId="164" fontId="3" fillId="22" borderId="142" xfId="0" applyNumberFormat="1" applyFont="1" applyFill="1" applyBorder="1"/>
    <xf numFmtId="164" fontId="3" fillId="22" borderId="143" xfId="0" applyNumberFormat="1" applyFont="1" applyFill="1" applyBorder="1"/>
    <xf numFmtId="164" fontId="3" fillId="22" borderId="144" xfId="0" applyNumberFormat="1" applyFont="1" applyFill="1" applyBorder="1"/>
    <xf numFmtId="0" fontId="4" fillId="4" borderId="6" xfId="0" applyFont="1" applyFill="1" applyBorder="1" applyAlignment="1">
      <alignment horizontal="center" vertical="center" wrapText="1"/>
    </xf>
    <xf numFmtId="0" fontId="2" fillId="0" borderId="13" xfId="0" applyFont="1" applyBorder="1"/>
    <xf numFmtId="0" fontId="11" fillId="6" borderId="22" xfId="0" applyFont="1" applyFill="1" applyBorder="1" applyAlignment="1">
      <alignment horizontal="center" vertical="center"/>
    </xf>
    <xf numFmtId="0" fontId="2" fillId="0" borderId="30" xfId="0" applyFont="1" applyBorder="1"/>
    <xf numFmtId="0" fontId="1" fillId="2" borderId="24" xfId="0" applyFont="1" applyFill="1" applyBorder="1" applyAlignment="1">
      <alignment horizontal="center" vertical="center"/>
    </xf>
    <xf numFmtId="0" fontId="2" fillId="0" borderId="25" xfId="0" applyFont="1" applyBorder="1"/>
    <xf numFmtId="0" fontId="2" fillId="0" borderId="26" xfId="0" applyFont="1" applyBorder="1"/>
    <xf numFmtId="49" fontId="1" fillId="3" borderId="27" xfId="0" applyNumberFormat="1" applyFont="1" applyFill="1" applyBorder="1" applyAlignment="1">
      <alignment horizontal="center" vertical="center"/>
    </xf>
    <xf numFmtId="0" fontId="2" fillId="0" borderId="28" xfId="0" applyFont="1" applyBorder="1"/>
    <xf numFmtId="0" fontId="2" fillId="0" borderId="29" xfId="0" applyFont="1" applyBorder="1"/>
    <xf numFmtId="0" fontId="16" fillId="7" borderId="24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2" fillId="0" borderId="9" xfId="0" applyFont="1" applyBorder="1"/>
    <xf numFmtId="0" fontId="0" fillId="0" borderId="0" xfId="0"/>
    <xf numFmtId="0" fontId="2" fillId="0" borderId="10" xfId="0" applyFont="1" applyBorder="1"/>
    <xf numFmtId="0" fontId="2" fillId="0" borderId="16" xfId="0" applyFont="1" applyBorder="1"/>
    <xf numFmtId="0" fontId="2" fillId="0" borderId="17" xfId="0" applyFont="1" applyBorder="1"/>
    <xf numFmtId="0" fontId="2" fillId="0" borderId="18" xfId="0" applyFont="1" applyBorder="1"/>
    <xf numFmtId="0" fontId="1" fillId="3" borderId="4" xfId="0" applyFont="1" applyFill="1" applyBorder="1" applyAlignment="1">
      <alignment horizontal="center" vertical="center"/>
    </xf>
    <xf numFmtId="0" fontId="2" fillId="0" borderId="11" xfId="0" applyFont="1" applyBorder="1"/>
    <xf numFmtId="0" fontId="2" fillId="0" borderId="19" xfId="0" applyFont="1" applyBorder="1"/>
    <xf numFmtId="17" fontId="1" fillId="3" borderId="5" xfId="0" applyNumberFormat="1" applyFont="1" applyFill="1" applyBorder="1" applyAlignment="1">
      <alignment horizontal="center" vertical="center"/>
    </xf>
    <xf numFmtId="0" fontId="2" fillId="0" borderId="12" xfId="0" applyFont="1" applyBorder="1"/>
    <xf numFmtId="0" fontId="2" fillId="0" borderId="20" xfId="0" applyFont="1" applyBorder="1"/>
    <xf numFmtId="0" fontId="1" fillId="2" borderId="4" xfId="0" applyFont="1" applyFill="1" applyBorder="1" applyAlignment="1">
      <alignment horizontal="center" vertical="center"/>
    </xf>
    <xf numFmtId="14" fontId="1" fillId="2" borderId="5" xfId="0" applyNumberFormat="1" applyFont="1" applyFill="1" applyBorder="1" applyAlignment="1">
      <alignment horizontal="center" vertical="center"/>
    </xf>
    <xf numFmtId="0" fontId="12" fillId="7" borderId="5" xfId="0" applyFont="1" applyFill="1" applyBorder="1" applyAlignment="1">
      <alignment horizontal="center" vertical="center" textRotation="89"/>
    </xf>
    <xf numFmtId="0" fontId="12" fillId="0" borderId="9" xfId="0" applyFont="1" applyBorder="1" applyAlignment="1">
      <alignment horizontal="center" vertical="center" textRotation="90"/>
    </xf>
    <xf numFmtId="0" fontId="23" fillId="0" borderId="1" xfId="0" applyFont="1" applyBorder="1" applyAlignment="1">
      <alignment horizontal="center" vertical="center" textRotation="90"/>
    </xf>
    <xf numFmtId="0" fontId="12" fillId="0" borderId="6" xfId="0" applyFont="1" applyBorder="1" applyAlignment="1">
      <alignment horizontal="center" vertical="center" textRotation="90"/>
    </xf>
    <xf numFmtId="0" fontId="2" fillId="0" borderId="37" xfId="0" applyFont="1" applyBorder="1"/>
    <xf numFmtId="0" fontId="13" fillId="20" borderId="24" xfId="0" applyFont="1" applyFill="1" applyBorder="1" applyAlignment="1">
      <alignment horizontal="center"/>
    </xf>
    <xf numFmtId="0" fontId="2" fillId="0" borderId="54" xfId="0" applyFont="1" applyBorder="1"/>
    <xf numFmtId="0" fontId="16" fillId="9" borderId="55" xfId="0" applyFont="1" applyFill="1" applyBorder="1" applyAlignment="1">
      <alignment horizontal="center"/>
    </xf>
    <xf numFmtId="0" fontId="2" fillId="0" borderId="56" xfId="0" applyFont="1" applyBorder="1"/>
    <xf numFmtId="0" fontId="2" fillId="0" borderId="57" xfId="0" applyFont="1" applyBorder="1"/>
    <xf numFmtId="0" fontId="12" fillId="9" borderId="58" xfId="0" applyFont="1" applyFill="1" applyBorder="1" applyAlignment="1">
      <alignment horizontal="center" vertical="center" textRotation="89"/>
    </xf>
    <xf numFmtId="0" fontId="2" fillId="0" borderId="62" xfId="0" applyFont="1" applyBorder="1"/>
    <xf numFmtId="0" fontId="2" fillId="0" borderId="72" xfId="0" applyFont="1" applyBorder="1"/>
    <xf numFmtId="0" fontId="12" fillId="0" borderId="59" xfId="0" applyFont="1" applyBorder="1" applyAlignment="1">
      <alignment horizontal="center" vertical="center" textRotation="90"/>
    </xf>
    <xf numFmtId="0" fontId="2" fillId="0" borderId="63" xfId="0" applyFont="1" applyBorder="1"/>
    <xf numFmtId="0" fontId="2" fillId="0" borderId="67" xfId="0" applyFont="1" applyBorder="1"/>
    <xf numFmtId="0" fontId="12" fillId="9" borderId="66" xfId="0" applyFont="1" applyFill="1" applyBorder="1" applyAlignment="1">
      <alignment horizontal="center"/>
    </xf>
    <xf numFmtId="0" fontId="2" fillId="0" borderId="65" xfId="0" applyFont="1" applyBorder="1"/>
    <xf numFmtId="0" fontId="23" fillId="0" borderId="59" xfId="0" applyFont="1" applyBorder="1" applyAlignment="1">
      <alignment horizontal="center" vertical="center" textRotation="90"/>
    </xf>
    <xf numFmtId="0" fontId="12" fillId="22" borderId="66" xfId="0" applyFont="1" applyFill="1" applyBorder="1" applyAlignment="1">
      <alignment horizontal="center"/>
    </xf>
    <xf numFmtId="0" fontId="16" fillId="5" borderId="75" xfId="0" applyFont="1" applyFill="1" applyBorder="1" applyAlignment="1">
      <alignment horizontal="center"/>
    </xf>
    <xf numFmtId="0" fontId="2" fillId="0" borderId="76" xfId="0" applyFont="1" applyBorder="1"/>
    <xf numFmtId="0" fontId="2" fillId="0" borderId="77" xfId="0" applyFont="1" applyBorder="1"/>
    <xf numFmtId="0" fontId="12" fillId="19" borderId="87" xfId="0" applyFont="1" applyFill="1" applyBorder="1" applyAlignment="1">
      <alignment horizontal="center"/>
    </xf>
    <xf numFmtId="0" fontId="2" fillId="0" borderId="88" xfId="0" applyFont="1" applyBorder="1"/>
    <xf numFmtId="0" fontId="2" fillId="0" borderId="89" xfId="0" applyFont="1" applyBorder="1"/>
    <xf numFmtId="0" fontId="13" fillId="21" borderId="27" xfId="0" applyFont="1" applyFill="1" applyBorder="1" applyAlignment="1">
      <alignment horizontal="center"/>
    </xf>
    <xf numFmtId="0" fontId="2" fillId="0" borderId="73" xfId="0" applyFont="1" applyBorder="1"/>
    <xf numFmtId="0" fontId="16" fillId="22" borderId="75" xfId="0" applyFont="1" applyFill="1" applyBorder="1" applyAlignment="1">
      <alignment horizontal="center"/>
    </xf>
    <xf numFmtId="0" fontId="12" fillId="22" borderId="78" xfId="0" applyFont="1" applyFill="1" applyBorder="1" applyAlignment="1">
      <alignment horizontal="center" vertical="center" textRotation="90"/>
    </xf>
    <xf numFmtId="0" fontId="2" fillId="0" borderId="84" xfId="0" applyFont="1" applyBorder="1"/>
    <xf numFmtId="0" fontId="23" fillId="0" borderId="6" xfId="0" applyFont="1" applyBorder="1" applyAlignment="1">
      <alignment horizontal="center" vertical="center" textRotation="90"/>
    </xf>
    <xf numFmtId="0" fontId="3" fillId="0" borderId="82" xfId="0" applyFont="1" applyBorder="1" applyAlignment="1">
      <alignment horizontal="center"/>
    </xf>
    <xf numFmtId="0" fontId="2" fillId="0" borderId="82" xfId="0" applyFont="1" applyBorder="1"/>
    <xf numFmtId="0" fontId="13" fillId="22" borderId="27" xfId="0" applyFont="1" applyFill="1" applyBorder="1" applyAlignment="1">
      <alignment horizontal="center"/>
    </xf>
    <xf numFmtId="0" fontId="40" fillId="15" borderId="1" xfId="0" applyFont="1" applyFill="1" applyBorder="1" applyAlignment="1">
      <alignment horizontal="center" vertical="center"/>
    </xf>
    <xf numFmtId="0" fontId="2" fillId="0" borderId="105" xfId="0" applyFont="1" applyBorder="1"/>
    <xf numFmtId="0" fontId="2" fillId="0" borderId="110" xfId="0" applyFont="1" applyBorder="1"/>
    <xf numFmtId="0" fontId="2" fillId="0" borderId="111" xfId="0" applyFont="1" applyBorder="1"/>
    <xf numFmtId="0" fontId="12" fillId="15" borderId="66" xfId="0" applyFont="1" applyFill="1" applyBorder="1" applyAlignment="1">
      <alignment horizontal="center"/>
    </xf>
    <xf numFmtId="0" fontId="12" fillId="5" borderId="78" xfId="0" applyFont="1" applyFill="1" applyBorder="1" applyAlignment="1">
      <alignment horizontal="center" vertical="center" textRotation="90"/>
    </xf>
    <xf numFmtId="0" fontId="12" fillId="0" borderId="22" xfId="0" applyFont="1" applyBorder="1" applyAlignment="1">
      <alignment horizontal="center" vertical="center" textRotation="90"/>
    </xf>
    <xf numFmtId="0" fontId="13" fillId="5" borderId="27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vertical="center" textRotation="90"/>
    </xf>
    <xf numFmtId="0" fontId="13" fillId="4" borderId="1" xfId="0" applyFont="1" applyFill="1" applyBorder="1" applyAlignment="1">
      <alignment horizontal="center" vertical="center" textRotation="90"/>
    </xf>
    <xf numFmtId="0" fontId="16" fillId="24" borderId="98" xfId="0" applyFont="1" applyFill="1" applyBorder="1" applyAlignment="1">
      <alignment horizontal="center"/>
    </xf>
    <xf numFmtId="0" fontId="2" fillId="0" borderId="99" xfId="0" applyFont="1" applyBorder="1"/>
    <xf numFmtId="0" fontId="12" fillId="10" borderId="66" xfId="0" applyFont="1" applyFill="1" applyBorder="1" applyAlignment="1">
      <alignment horizontal="center"/>
    </xf>
    <xf numFmtId="0" fontId="25" fillId="4" borderId="1" xfId="0" applyFont="1" applyFill="1" applyBorder="1" applyAlignment="1">
      <alignment horizontal="center" vertical="center" textRotation="90"/>
    </xf>
    <xf numFmtId="0" fontId="12" fillId="13" borderId="1" xfId="0" applyFont="1" applyFill="1" applyBorder="1" applyAlignment="1">
      <alignment horizontal="center" vertical="center"/>
    </xf>
    <xf numFmtId="0" fontId="2" fillId="0" borderId="103" xfId="0" applyFont="1" applyBorder="1"/>
    <xf numFmtId="0" fontId="2" fillId="0" borderId="104" xfId="0" applyFont="1" applyBorder="1"/>
    <xf numFmtId="0" fontId="2" fillId="0" borderId="106" xfId="0" applyFont="1" applyBorder="1"/>
    <xf numFmtId="0" fontId="13" fillId="24" borderId="107" xfId="0" applyFont="1" applyFill="1" applyBorder="1" applyAlignment="1">
      <alignment horizontal="center"/>
    </xf>
    <xf numFmtId="0" fontId="2" fillId="0" borderId="108" xfId="0" applyFont="1" applyBorder="1"/>
    <xf numFmtId="0" fontId="2" fillId="0" borderId="109" xfId="0" applyFont="1" applyBorder="1"/>
    <xf numFmtId="0" fontId="3" fillId="0" borderId="24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7" fillId="29" borderId="125" xfId="0" applyFont="1" applyFill="1" applyBorder="1" applyAlignment="1">
      <alignment horizontal="center" vertical="center"/>
    </xf>
    <xf numFmtId="0" fontId="2" fillId="0" borderId="92" xfId="0" applyFont="1" applyBorder="1"/>
    <xf numFmtId="0" fontId="2" fillId="0" borderId="126" xfId="0" applyFont="1" applyBorder="1"/>
    <xf numFmtId="0" fontId="2" fillId="0" borderId="127" xfId="0" applyFont="1" applyBorder="1"/>
    <xf numFmtId="0" fontId="2" fillId="0" borderId="83" xfId="0" applyFont="1" applyBorder="1"/>
    <xf numFmtId="0" fontId="2" fillId="0" borderId="128" xfId="0" applyFont="1" applyBorder="1"/>
    <xf numFmtId="0" fontId="2" fillId="0" borderId="129" xfId="0" applyFont="1" applyBorder="1"/>
    <xf numFmtId="0" fontId="7" fillId="29" borderId="90" xfId="0" applyFont="1" applyFill="1" applyBorder="1" applyAlignment="1">
      <alignment horizontal="center" vertical="center"/>
    </xf>
    <xf numFmtId="0" fontId="2" fillId="0" borderId="80" xfId="0" applyFont="1" applyBorder="1"/>
    <xf numFmtId="0" fontId="2" fillId="0" borderId="85" xfId="0" applyFont="1" applyBorder="1"/>
    <xf numFmtId="0" fontId="2" fillId="0" borderId="70" xfId="0" applyFont="1" applyBorder="1"/>
    <xf numFmtId="0" fontId="2" fillId="0" borderId="86" xfId="0" applyFont="1" applyBorder="1"/>
    <xf numFmtId="0" fontId="41" fillId="8" borderId="112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 vertical="center"/>
    </xf>
    <xf numFmtId="0" fontId="12" fillId="0" borderId="85" xfId="0" applyFont="1" applyBorder="1" applyAlignment="1">
      <alignment horizontal="center" vertical="center"/>
    </xf>
    <xf numFmtId="0" fontId="7" fillId="29" borderId="90" xfId="0" applyFont="1" applyFill="1" applyBorder="1" applyAlignment="1">
      <alignment horizontal="center" vertical="center" wrapText="1"/>
    </xf>
    <xf numFmtId="0" fontId="41" fillId="7" borderId="112" xfId="0" applyFont="1" applyFill="1" applyBorder="1" applyAlignment="1">
      <alignment horizontal="center"/>
    </xf>
    <xf numFmtId="0" fontId="12" fillId="7" borderId="75" xfId="0" applyFont="1" applyFill="1" applyBorder="1" applyAlignment="1">
      <alignment horizontal="center" vertical="center"/>
    </xf>
    <xf numFmtId="0" fontId="7" fillId="4" borderId="24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comments3.xml.rels><?xml version="1.0" encoding="UTF-8" standalone="yes"?>
<Relationships xmlns="http://schemas.openxmlformats.org/package/2006/relationships"><Relationship Id="rId1" Type="http://customschemas.google.com/relationships/workbookmetadata" Target="commentsmeta2"/></Relationships>
</file>

<file path=xl/_rels/comments4.xml.rels><?xml version="1.0" encoding="UTF-8" standalone="yes"?>
<Relationships xmlns="http://schemas.openxmlformats.org/package/2006/relationships"><Relationship Id="rId1" Type="http://customschemas.google.com/relationships/workbookmetadata" Target="commentsmeta3"/></Relationship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11" Type="http://customschemas.google.com/relationships/workbookmetadata" Target="metadata"/><Relationship Id="rId15" Type="http://schemas.openxmlformats.org/officeDocument/2006/relationships/calcChain" Target="calcChain.xml"/><Relationship Id="rId4" Type="http://schemas.openxmlformats.org/officeDocument/2006/relationships/worksheet" Target="worksheets/sheet4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FFFF00"/>
    <pageSetUpPr fitToPage="1"/>
  </sheetPr>
  <dimension ref="A1:AA1028"/>
  <sheetViews>
    <sheetView tabSelected="1" zoomScaleNormal="100" workbookViewId="0">
      <pane ySplit="7" topLeftCell="A26" activePane="bottomLeft" state="frozen"/>
      <selection pane="bottomLeft" activeCell="E65" sqref="E65"/>
    </sheetView>
  </sheetViews>
  <sheetFormatPr defaultColWidth="14.44140625" defaultRowHeight="15" customHeight="1" outlineLevelRow="2" x14ac:dyDescent="0.3"/>
  <cols>
    <col min="1" max="1" width="8" customWidth="1"/>
    <col min="2" max="2" width="9.109375" customWidth="1"/>
    <col min="3" max="3" width="13.109375" customWidth="1"/>
    <col min="4" max="4" width="16.44140625" customWidth="1"/>
    <col min="5" max="5" width="16.5546875" customWidth="1"/>
    <col min="6" max="6" width="19.5546875" customWidth="1"/>
    <col min="7" max="7" width="22" customWidth="1"/>
    <col min="8" max="8" width="21.44140625" customWidth="1"/>
    <col min="9" max="9" width="19.5546875" customWidth="1"/>
    <col min="10" max="10" width="13.33203125" customWidth="1"/>
    <col min="11" max="11" width="16.33203125" customWidth="1"/>
    <col min="12" max="12" width="36.5546875" customWidth="1"/>
    <col min="13" max="13" width="20.44140625" customWidth="1"/>
    <col min="14" max="14" width="23" customWidth="1"/>
    <col min="15" max="15" width="19.109375" customWidth="1"/>
    <col min="16" max="16" width="18.5546875" customWidth="1"/>
    <col min="17" max="17" width="23.109375" customWidth="1"/>
    <col min="18" max="18" width="16.109375" customWidth="1"/>
    <col min="19" max="27" width="8.6640625" customWidth="1"/>
  </cols>
  <sheetData>
    <row r="1" spans="1:27" ht="14.25" customHeight="1" thickBot="1" x14ac:dyDescent="0.35">
      <c r="A1" s="606" t="s">
        <v>0</v>
      </c>
      <c r="B1" s="607"/>
      <c r="C1" s="607"/>
      <c r="D1" s="608"/>
      <c r="E1" s="615" t="s">
        <v>1</v>
      </c>
      <c r="F1" s="618">
        <v>45944</v>
      </c>
      <c r="G1" s="1"/>
      <c r="H1" s="621" t="s">
        <v>2</v>
      </c>
      <c r="I1" s="622">
        <v>45812</v>
      </c>
      <c r="J1" s="1"/>
      <c r="K1" s="1"/>
      <c r="L1" s="595" t="s">
        <v>3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</v>
      </c>
      <c r="R1" s="3" t="s">
        <v>9</v>
      </c>
      <c r="S1" s="1"/>
      <c r="T1" s="1"/>
      <c r="U1" s="1"/>
      <c r="V1" s="1"/>
      <c r="W1" s="1"/>
      <c r="X1" s="1"/>
      <c r="Y1" s="1"/>
      <c r="Z1" s="1"/>
      <c r="AA1" s="1"/>
    </row>
    <row r="2" spans="1:27" ht="14.25" hidden="1" customHeight="1" x14ac:dyDescent="0.5">
      <c r="A2" s="609"/>
      <c r="B2" s="610"/>
      <c r="C2" s="610"/>
      <c r="D2" s="611"/>
      <c r="E2" s="616"/>
      <c r="F2" s="619"/>
      <c r="G2" s="4"/>
      <c r="H2" s="616"/>
      <c r="I2" s="619"/>
      <c r="J2" s="5"/>
      <c r="K2" s="5"/>
      <c r="L2" s="596"/>
      <c r="M2" s="6">
        <v>52</v>
      </c>
      <c r="N2" s="6">
        <f>' COMP.MAXFIO'!J5</f>
        <v>8.9</v>
      </c>
      <c r="O2" s="6">
        <f>' COMP.MAXFIO'!K3</f>
        <v>8.5500000000000007</v>
      </c>
      <c r="P2" s="6">
        <v>25.96</v>
      </c>
      <c r="Q2" s="6">
        <f>' COMP.MAXFIO'!L5</f>
        <v>16.7</v>
      </c>
      <c r="R2" s="7">
        <f>' COMP.MAXFIO'!M5</f>
        <v>0.1</v>
      </c>
      <c r="S2" s="4"/>
      <c r="T2" s="4"/>
      <c r="U2" s="4"/>
      <c r="V2" s="4"/>
      <c r="W2" s="4"/>
      <c r="X2" s="4"/>
      <c r="Y2" s="4"/>
      <c r="Z2" s="4"/>
      <c r="AA2" s="4"/>
    </row>
    <row r="3" spans="1:27" ht="14.25" hidden="1" customHeight="1" x14ac:dyDescent="0.4">
      <c r="A3" s="612"/>
      <c r="B3" s="613"/>
      <c r="C3" s="613"/>
      <c r="D3" s="614"/>
      <c r="E3" s="617"/>
      <c r="F3" s="620"/>
      <c r="G3" s="4"/>
      <c r="H3" s="617"/>
      <c r="I3" s="620"/>
      <c r="J3" s="5"/>
      <c r="K3" s="5"/>
      <c r="L3" s="8"/>
      <c r="M3" s="9"/>
      <c r="N3" s="9"/>
      <c r="O3" s="9"/>
      <c r="P3" s="9"/>
      <c r="Q3" s="9"/>
      <c r="R3" s="9"/>
      <c r="S3" s="4"/>
      <c r="T3" s="4"/>
      <c r="U3" s="4"/>
      <c r="V3" s="4"/>
      <c r="W3" s="4"/>
      <c r="X3" s="4"/>
      <c r="Y3" s="4"/>
      <c r="Z3" s="4"/>
      <c r="AA3" s="4"/>
    </row>
    <row r="4" spans="1:27" ht="21.75" hidden="1" customHeight="1" x14ac:dyDescent="0.4">
      <c r="A4" s="10"/>
      <c r="B4" s="10"/>
      <c r="C4" s="10"/>
      <c r="D4" s="10"/>
      <c r="E4" s="11"/>
      <c r="F4" s="12"/>
      <c r="G4" s="11"/>
      <c r="H4" s="11"/>
      <c r="I4" s="12"/>
      <c r="J4" s="5"/>
      <c r="K4" s="5"/>
      <c r="L4" s="597" t="s">
        <v>10</v>
      </c>
      <c r="M4" s="13" t="s">
        <v>11</v>
      </c>
      <c r="N4" s="13" t="s">
        <v>12</v>
      </c>
      <c r="O4" s="13" t="s">
        <v>13</v>
      </c>
      <c r="P4" s="13" t="s">
        <v>14</v>
      </c>
      <c r="Q4" s="14" t="s">
        <v>15</v>
      </c>
      <c r="R4" s="15"/>
      <c r="S4" s="4"/>
      <c r="T4" s="4"/>
      <c r="U4" s="4"/>
      <c r="V4" s="4"/>
      <c r="W4" s="4"/>
      <c r="X4" s="4"/>
      <c r="Y4" s="4"/>
      <c r="Z4" s="4"/>
      <c r="AA4" s="4"/>
    </row>
    <row r="5" spans="1:27" ht="30.75" hidden="1" customHeight="1" x14ac:dyDescent="0.4">
      <c r="A5" s="599" t="s">
        <v>16</v>
      </c>
      <c r="B5" s="600"/>
      <c r="C5" s="600"/>
      <c r="D5" s="601"/>
      <c r="E5" s="602"/>
      <c r="F5" s="603"/>
      <c r="G5" s="603"/>
      <c r="H5" s="603"/>
      <c r="I5" s="604"/>
      <c r="J5" s="5"/>
      <c r="K5" s="5"/>
      <c r="L5" s="598"/>
      <c r="M5" s="16">
        <v>0.15</v>
      </c>
      <c r="N5" s="14">
        <v>0.25</v>
      </c>
      <c r="O5" s="16">
        <v>0.23</v>
      </c>
      <c r="P5" s="16">
        <v>0.25</v>
      </c>
      <c r="Q5" s="14">
        <v>0.21</v>
      </c>
      <c r="R5" s="15"/>
      <c r="S5" s="4"/>
      <c r="T5" s="4"/>
      <c r="U5" s="4"/>
      <c r="V5" s="4"/>
      <c r="W5" s="4"/>
      <c r="X5" s="4"/>
      <c r="Y5" s="4"/>
      <c r="Z5" s="4"/>
      <c r="AA5" s="4"/>
    </row>
    <row r="6" spans="1:27" ht="38.25" hidden="1" customHeight="1" x14ac:dyDescent="0.35">
      <c r="A6" s="4"/>
      <c r="B6" s="4"/>
      <c r="C6" s="4"/>
      <c r="D6" s="4"/>
      <c r="E6" s="4"/>
      <c r="F6" s="4"/>
      <c r="G6" s="4"/>
      <c r="H6" s="4"/>
      <c r="I6" s="4"/>
      <c r="J6" s="5"/>
      <c r="K6" s="5"/>
      <c r="L6" s="17"/>
      <c r="M6" s="17"/>
      <c r="N6" s="18"/>
      <c r="O6" s="18"/>
      <c r="P6" s="18"/>
      <c r="Q6" s="4"/>
      <c r="R6" s="18"/>
      <c r="S6" s="4"/>
      <c r="T6" s="4"/>
      <c r="U6" s="4"/>
      <c r="V6" s="4"/>
      <c r="W6" s="4"/>
      <c r="X6" s="4"/>
      <c r="Y6" s="4"/>
      <c r="Z6" s="4"/>
      <c r="AA6" s="4"/>
    </row>
    <row r="7" spans="1:27" ht="27.75" customHeight="1" thickBot="1" x14ac:dyDescent="0.4">
      <c r="A7" s="19" t="s">
        <v>17</v>
      </c>
      <c r="B7" s="20" t="s">
        <v>18</v>
      </c>
      <c r="C7" s="20" t="str">
        <f>' COMP.MAXFIO'!B5</f>
        <v>CABO (mm)</v>
      </c>
      <c r="D7" s="21" t="s">
        <v>19</v>
      </c>
      <c r="E7" s="20">
        <v>0</v>
      </c>
      <c r="F7" s="22" t="s">
        <v>20</v>
      </c>
      <c r="G7" s="21" t="s">
        <v>21</v>
      </c>
      <c r="H7" s="22" t="s">
        <v>22</v>
      </c>
      <c r="I7" s="23" t="s">
        <v>23</v>
      </c>
      <c r="J7" s="24" t="s">
        <v>24</v>
      </c>
      <c r="K7" s="25" t="s">
        <v>25</v>
      </c>
      <c r="L7" s="5"/>
      <c r="M7" s="5"/>
      <c r="N7" s="5"/>
      <c r="O7" s="4"/>
      <c r="P7" s="18"/>
      <c r="Q7" s="18"/>
      <c r="R7" s="18"/>
      <c r="S7" s="4"/>
      <c r="T7" s="4"/>
      <c r="U7" s="4"/>
      <c r="V7" s="4"/>
      <c r="W7" s="4"/>
      <c r="X7" s="4"/>
      <c r="Y7" s="4"/>
      <c r="Z7" s="4"/>
      <c r="AA7" s="4"/>
    </row>
    <row r="8" spans="1:27" ht="14.25" customHeight="1" thickBot="1" x14ac:dyDescent="0.4">
      <c r="A8" s="605"/>
      <c r="B8" s="600"/>
      <c r="C8" s="600"/>
      <c r="D8" s="600"/>
      <c r="E8" s="600"/>
      <c r="F8" s="600"/>
      <c r="G8" s="600"/>
      <c r="H8" s="600"/>
      <c r="I8" s="601"/>
      <c r="J8" s="26" t="s">
        <v>26</v>
      </c>
      <c r="K8" s="27" t="s">
        <v>27</v>
      </c>
    </row>
    <row r="9" spans="1:27" ht="15" customHeight="1" x14ac:dyDescent="0.3">
      <c r="A9" s="623" t="s">
        <v>11</v>
      </c>
      <c r="B9" s="624" t="s">
        <v>28</v>
      </c>
      <c r="C9" s="28">
        <f>' COMP.MAXFIO'!B6</f>
        <v>0.5</v>
      </c>
      <c r="D9" s="29">
        <f>' COMP.MAXFIO'!O6</f>
        <v>43.800319999999999</v>
      </c>
      <c r="E9" s="30">
        <v>0</v>
      </c>
      <c r="F9" s="31">
        <f>D9/0.8</f>
        <v>54.750399999999999</v>
      </c>
      <c r="G9" s="32">
        <f t="shared" ref="G9:G54" si="0">E9*D9</f>
        <v>0</v>
      </c>
      <c r="H9" s="33">
        <f t="shared" ref="H9:H54" si="1">E9*F9</f>
        <v>0</v>
      </c>
      <c r="I9" s="34" t="e">
        <f t="shared" ref="I9:I55" si="2">1-(G9/H9)</f>
        <v>#DIV/0!</v>
      </c>
      <c r="J9" s="35">
        <f>E9*' COMP.MAXFIO'!H6</f>
        <v>0</v>
      </c>
      <c r="K9" s="36">
        <v>21</v>
      </c>
    </row>
    <row r="10" spans="1:27" ht="14.25" customHeight="1" x14ac:dyDescent="0.3">
      <c r="A10" s="619"/>
      <c r="B10" s="609"/>
      <c r="C10" s="37">
        <f>' COMP.MAXFIO'!B7</f>
        <v>0.75</v>
      </c>
      <c r="D10" s="38">
        <f>' COMP.MAXFIO'!O7</f>
        <v>62.95232</v>
      </c>
      <c r="E10" s="30">
        <v>0</v>
      </c>
      <c r="F10" s="31">
        <f t="shared" ref="F10:F15" si="3">D10/0.8</f>
        <v>78.690399999999997</v>
      </c>
      <c r="G10" s="32">
        <f t="shared" si="0"/>
        <v>0</v>
      </c>
      <c r="H10" s="33">
        <f t="shared" si="1"/>
        <v>0</v>
      </c>
      <c r="I10" s="34" t="e">
        <f t="shared" si="2"/>
        <v>#DIV/0!</v>
      </c>
      <c r="J10" s="35">
        <f>E10*' COMP.MAXFIO'!H7</f>
        <v>0</v>
      </c>
      <c r="K10" s="36">
        <v>21</v>
      </c>
    </row>
    <row r="11" spans="1:27" ht="12" customHeight="1" outlineLevel="1" x14ac:dyDescent="0.3">
      <c r="A11" s="619"/>
      <c r="B11" s="609"/>
      <c r="C11" s="37">
        <f>' COMP.MAXFIO'!B8</f>
        <v>1</v>
      </c>
      <c r="D11" s="38">
        <f>' COMP.MAXFIO'!O8</f>
        <v>77.230820000000008</v>
      </c>
      <c r="E11" s="30">
        <v>0</v>
      </c>
      <c r="F11" s="31">
        <f t="shared" si="3"/>
        <v>96.538525000000007</v>
      </c>
      <c r="G11" s="32">
        <f t="shared" si="0"/>
        <v>0</v>
      </c>
      <c r="H11" s="33">
        <f t="shared" si="1"/>
        <v>0</v>
      </c>
      <c r="I11" s="34" t="e">
        <f t="shared" si="2"/>
        <v>#DIV/0!</v>
      </c>
      <c r="J11" s="35">
        <f>E11*' COMP.MAXFIO'!H8</f>
        <v>0</v>
      </c>
      <c r="K11" s="36">
        <v>21</v>
      </c>
    </row>
    <row r="12" spans="1:27" ht="15" customHeight="1" outlineLevel="1" x14ac:dyDescent="0.3">
      <c r="A12" s="619"/>
      <c r="B12" s="609"/>
      <c r="C12" s="37">
        <f>' COMP.MAXFIO'!B9</f>
        <v>1.5</v>
      </c>
      <c r="D12" s="38">
        <f>' COMP.MAXFIO'!O9</f>
        <v>114.435999</v>
      </c>
      <c r="E12" s="30">
        <v>0</v>
      </c>
      <c r="F12" s="31">
        <f>D12/0.82</f>
        <v>139.55609634146342</v>
      </c>
      <c r="G12" s="32">
        <f t="shared" si="0"/>
        <v>0</v>
      </c>
      <c r="H12" s="33">
        <f t="shared" si="1"/>
        <v>0</v>
      </c>
      <c r="I12" s="34" t="e">
        <f t="shared" si="2"/>
        <v>#DIV/0!</v>
      </c>
      <c r="J12" s="35">
        <f>E12*' COMP.MAXFIO'!H9</f>
        <v>0</v>
      </c>
      <c r="K12" s="36">
        <v>15.98</v>
      </c>
    </row>
    <row r="13" spans="1:27" ht="14.25" customHeight="1" outlineLevel="1" x14ac:dyDescent="0.3">
      <c r="A13" s="619"/>
      <c r="B13" s="609"/>
      <c r="C13" s="37">
        <f>' COMP.MAXFIO'!B10</f>
        <v>2.5</v>
      </c>
      <c r="D13" s="38">
        <f>' COMP.MAXFIO'!O10</f>
        <v>181.45531999999997</v>
      </c>
      <c r="E13" s="30">
        <v>0</v>
      </c>
      <c r="F13" s="31">
        <f>D13/0.82</f>
        <v>221.28697560975607</v>
      </c>
      <c r="G13" s="32">
        <f t="shared" si="0"/>
        <v>0</v>
      </c>
      <c r="H13" s="33">
        <f t="shared" si="1"/>
        <v>0</v>
      </c>
      <c r="I13" s="34" t="e">
        <f t="shared" si="2"/>
        <v>#DIV/0!</v>
      </c>
      <c r="J13" s="35">
        <f>E13*' COMP.MAXFIO'!H10</f>
        <v>0</v>
      </c>
      <c r="K13" s="36">
        <v>14.95</v>
      </c>
    </row>
    <row r="14" spans="1:27" ht="14.25" customHeight="1" outlineLevel="1" x14ac:dyDescent="0.3">
      <c r="A14" s="619"/>
      <c r="B14" s="609"/>
      <c r="C14" s="37">
        <f>' COMP.MAXFIO'!B11</f>
        <v>4</v>
      </c>
      <c r="D14" s="38">
        <f>' COMP.MAXFIO'!O11</f>
        <v>284.91276589</v>
      </c>
      <c r="E14" s="30">
        <v>0</v>
      </c>
      <c r="F14" s="31">
        <f t="shared" si="3"/>
        <v>356.14095736249999</v>
      </c>
      <c r="G14" s="32">
        <f t="shared" si="0"/>
        <v>0</v>
      </c>
      <c r="H14" s="33">
        <f t="shared" si="1"/>
        <v>0</v>
      </c>
      <c r="I14" s="34" t="e">
        <f t="shared" si="2"/>
        <v>#DIV/0!</v>
      </c>
      <c r="J14" s="35">
        <f>E14*' COMP.MAXFIO'!H11</f>
        <v>0</v>
      </c>
      <c r="K14" s="36">
        <v>18.010000000000002</v>
      </c>
    </row>
    <row r="15" spans="1:27" ht="14.25" customHeight="1" outlineLevel="1" x14ac:dyDescent="0.3">
      <c r="A15" s="619"/>
      <c r="B15" s="609"/>
      <c r="C15" s="37">
        <f>' COMP.MAXFIO'!B12</f>
        <v>6</v>
      </c>
      <c r="D15" s="38">
        <f>' COMP.MAXFIO'!O12</f>
        <v>433.37996756000001</v>
      </c>
      <c r="E15" s="30">
        <v>0</v>
      </c>
      <c r="F15" s="31">
        <f t="shared" si="3"/>
        <v>541.72495945000003</v>
      </c>
      <c r="G15" s="32">
        <f t="shared" si="0"/>
        <v>0</v>
      </c>
      <c r="H15" s="33">
        <f t="shared" si="1"/>
        <v>0</v>
      </c>
      <c r="I15" s="34" t="e">
        <f t="shared" si="2"/>
        <v>#DIV/0!</v>
      </c>
      <c r="J15" s="35">
        <f>E15*' COMP.MAXFIO'!H12</f>
        <v>0</v>
      </c>
      <c r="K15" s="36">
        <v>20</v>
      </c>
    </row>
    <row r="16" spans="1:27" ht="14.25" customHeight="1" outlineLevel="1" x14ac:dyDescent="0.3">
      <c r="A16" s="619"/>
      <c r="B16" s="609"/>
      <c r="C16" s="37">
        <f>' COMP.MAXFIO'!B13</f>
        <v>10</v>
      </c>
      <c r="D16" s="38">
        <f>' COMP.MAXFIO'!O13</f>
        <v>722.04429042000004</v>
      </c>
      <c r="E16" s="30">
        <v>0</v>
      </c>
      <c r="F16" s="31">
        <f>D16/0.81</f>
        <v>891.41270422222226</v>
      </c>
      <c r="G16" s="32">
        <f t="shared" si="0"/>
        <v>0</v>
      </c>
      <c r="H16" s="33">
        <f t="shared" si="1"/>
        <v>0</v>
      </c>
      <c r="I16" s="34" t="e">
        <f t="shared" si="2"/>
        <v>#DIV/0!</v>
      </c>
      <c r="J16" s="35">
        <f>E16*' COMP.MAXFIO'!H13</f>
        <v>0</v>
      </c>
      <c r="K16" s="36">
        <v>20</v>
      </c>
    </row>
    <row r="17" spans="1:15" ht="14.25" customHeight="1" outlineLevel="1" x14ac:dyDescent="0.3">
      <c r="A17" s="619"/>
      <c r="B17" s="612"/>
      <c r="C17" s="39">
        <f>' COMP.MAXFIO'!B14</f>
        <v>16</v>
      </c>
      <c r="D17" s="40">
        <f>' COMP.MAXFIO'!O14</f>
        <v>1084.8037289999997</v>
      </c>
      <c r="E17" s="41">
        <v>0</v>
      </c>
      <c r="F17" s="31">
        <f>D17/0.8</f>
        <v>1356.0046612499996</v>
      </c>
      <c r="G17" s="43">
        <f t="shared" si="0"/>
        <v>0</v>
      </c>
      <c r="H17" s="44">
        <f t="shared" si="1"/>
        <v>0</v>
      </c>
      <c r="I17" s="45" t="e">
        <f t="shared" si="2"/>
        <v>#DIV/0!</v>
      </c>
      <c r="J17" s="35">
        <f>E17*' COMP.MAXFIO'!H14</f>
        <v>0</v>
      </c>
      <c r="K17" s="36">
        <v>20.89</v>
      </c>
    </row>
    <row r="18" spans="1:15" ht="15" customHeight="1" outlineLevel="1" x14ac:dyDescent="0.3">
      <c r="A18" s="619"/>
      <c r="B18" s="625" t="s">
        <v>29</v>
      </c>
      <c r="C18" s="46" t="str">
        <f>' COMP.MAXFIO'!B15</f>
        <v>2x0,75</v>
      </c>
      <c r="D18" s="29">
        <f>' COMP.MAXFIO'!O15</f>
        <v>108.001</v>
      </c>
      <c r="E18" s="30">
        <v>0</v>
      </c>
      <c r="F18" s="31">
        <f>D18/0.82</f>
        <v>131.70853658536586</v>
      </c>
      <c r="G18" s="47">
        <f t="shared" si="0"/>
        <v>0</v>
      </c>
      <c r="H18" s="48">
        <f t="shared" si="1"/>
        <v>0</v>
      </c>
      <c r="I18" s="49" t="e">
        <f t="shared" si="2"/>
        <v>#DIV/0!</v>
      </c>
      <c r="J18" s="35">
        <f>E18*' COMP.MAXFIO'!H15</f>
        <v>0</v>
      </c>
      <c r="K18" s="36">
        <v>20</v>
      </c>
    </row>
    <row r="19" spans="1:15" ht="14.25" customHeight="1" outlineLevel="1" x14ac:dyDescent="0.3">
      <c r="A19" s="619"/>
      <c r="B19" s="609"/>
      <c r="C19" s="46" t="str">
        <f>' COMP.MAXFIO'!B16</f>
        <v>2x1,0</v>
      </c>
      <c r="D19" s="38">
        <f>' COMP.MAXFIO'!O16</f>
        <v>152.02900000000002</v>
      </c>
      <c r="E19" s="30">
        <v>0</v>
      </c>
      <c r="F19" s="31">
        <f t="shared" ref="F19:F20" si="4">D19/0.82</f>
        <v>185.40121951219515</v>
      </c>
      <c r="G19" s="32">
        <f t="shared" si="0"/>
        <v>0</v>
      </c>
      <c r="H19" s="33">
        <f t="shared" si="1"/>
        <v>0</v>
      </c>
      <c r="I19" s="34" t="e">
        <f t="shared" si="2"/>
        <v>#DIV/0!</v>
      </c>
      <c r="J19" s="35">
        <f>E19*' COMP.MAXFIO'!H16</f>
        <v>0</v>
      </c>
      <c r="K19" s="36">
        <v>20</v>
      </c>
    </row>
    <row r="20" spans="1:15" ht="15" customHeight="1" outlineLevel="1" x14ac:dyDescent="0.3">
      <c r="A20" s="619"/>
      <c r="B20" s="609"/>
      <c r="C20" s="46" t="str">
        <f>' COMP.MAXFIO'!B17</f>
        <v>2x1,5</v>
      </c>
      <c r="D20" s="38">
        <f>' COMP.MAXFIO'!O17</f>
        <v>227.59000000000003</v>
      </c>
      <c r="E20" s="30">
        <v>0</v>
      </c>
      <c r="F20" s="31">
        <f t="shared" si="4"/>
        <v>277.54878048780495</v>
      </c>
      <c r="G20" s="32">
        <f t="shared" si="0"/>
        <v>0</v>
      </c>
      <c r="H20" s="33">
        <f t="shared" si="1"/>
        <v>0</v>
      </c>
      <c r="I20" s="34" t="e">
        <f t="shared" si="2"/>
        <v>#DIV/0!</v>
      </c>
      <c r="J20" s="35">
        <f>E20*' COMP.MAXFIO'!H17</f>
        <v>0</v>
      </c>
      <c r="K20" s="36">
        <v>20</v>
      </c>
    </row>
    <row r="21" spans="1:15" ht="14.25" customHeight="1" outlineLevel="1" x14ac:dyDescent="0.3">
      <c r="A21" s="619"/>
      <c r="B21" s="609"/>
      <c r="C21" s="46" t="str">
        <f>' COMP.MAXFIO'!B18</f>
        <v>2x2,5</v>
      </c>
      <c r="D21" s="38">
        <f>' COMP.MAXFIO'!O18</f>
        <v>370.68049999999999</v>
      </c>
      <c r="E21" s="30">
        <v>0</v>
      </c>
      <c r="F21" s="31">
        <f>D21/0.83</f>
        <v>446.6030120481928</v>
      </c>
      <c r="G21" s="32">
        <f t="shared" si="0"/>
        <v>0</v>
      </c>
      <c r="H21" s="33">
        <f t="shared" si="1"/>
        <v>0</v>
      </c>
      <c r="I21" s="34" t="e">
        <f t="shared" si="2"/>
        <v>#DIV/0!</v>
      </c>
      <c r="J21" s="35">
        <f>E21*' COMP.MAXFIO'!H18</f>
        <v>0</v>
      </c>
      <c r="K21" s="36">
        <v>18</v>
      </c>
    </row>
    <row r="22" spans="1:15" ht="14.25" customHeight="1" outlineLevel="1" x14ac:dyDescent="0.3">
      <c r="A22" s="619"/>
      <c r="B22" s="612"/>
      <c r="C22" s="50" t="str">
        <f>' COMP.MAXFIO'!B19</f>
        <v>2X4,0</v>
      </c>
      <c r="D22" s="40">
        <f>' COMP.MAXFIO'!O19</f>
        <v>559.28780000000006</v>
      </c>
      <c r="E22" s="41">
        <v>0</v>
      </c>
      <c r="F22" s="42">
        <f>D22/0.82</f>
        <v>682.05829268292689</v>
      </c>
      <c r="G22" s="43">
        <f t="shared" si="0"/>
        <v>0</v>
      </c>
      <c r="H22" s="44">
        <f t="shared" si="1"/>
        <v>0</v>
      </c>
      <c r="I22" s="45" t="e">
        <f t="shared" si="2"/>
        <v>#DIV/0!</v>
      </c>
      <c r="J22" s="35">
        <f>E22*' COMP.MAXFIO'!H19</f>
        <v>0</v>
      </c>
      <c r="K22" s="36">
        <v>20</v>
      </c>
    </row>
    <row r="23" spans="1:15" ht="17.25" customHeight="1" outlineLevel="1" x14ac:dyDescent="0.3">
      <c r="A23" s="619"/>
      <c r="B23" s="626" t="s">
        <v>30</v>
      </c>
      <c r="C23" s="51" t="s">
        <v>31</v>
      </c>
      <c r="D23" s="52">
        <f>' COMP.MAXFIO'!O20</f>
        <v>133.37980000000002</v>
      </c>
      <c r="E23" s="53">
        <v>0</v>
      </c>
      <c r="F23" s="31">
        <f t="shared" ref="F23:F32" si="5">D23/0.76</f>
        <v>175.49973684210528</v>
      </c>
      <c r="G23" s="47">
        <f t="shared" si="0"/>
        <v>0</v>
      </c>
      <c r="H23" s="48">
        <f t="shared" si="1"/>
        <v>0</v>
      </c>
      <c r="I23" s="49" t="e">
        <f t="shared" si="2"/>
        <v>#DIV/0!</v>
      </c>
      <c r="J23" s="35">
        <f>E23*' COMP.MAXFIO'!H20</f>
        <v>0</v>
      </c>
      <c r="K23" s="36">
        <v>23</v>
      </c>
    </row>
    <row r="24" spans="1:15" ht="14.25" customHeight="1" outlineLevel="1" x14ac:dyDescent="0.3">
      <c r="A24" s="619"/>
      <c r="B24" s="627"/>
      <c r="C24" s="54" t="s">
        <v>32</v>
      </c>
      <c r="D24" s="38">
        <f>' COMP.MAXFIO'!O21</f>
        <v>257.84500000000008</v>
      </c>
      <c r="E24" s="30">
        <v>0</v>
      </c>
      <c r="F24" s="31">
        <f t="shared" si="5"/>
        <v>339.26973684210537</v>
      </c>
      <c r="G24" s="32">
        <f t="shared" si="0"/>
        <v>0</v>
      </c>
      <c r="H24" s="33">
        <f t="shared" si="1"/>
        <v>0</v>
      </c>
      <c r="I24" s="34" t="e">
        <f t="shared" si="2"/>
        <v>#DIV/0!</v>
      </c>
      <c r="J24" s="35">
        <f>E24*' COMP.MAXFIO'!H21</f>
        <v>0</v>
      </c>
      <c r="K24" s="36">
        <v>23</v>
      </c>
    </row>
    <row r="25" spans="1:15" ht="17.25" customHeight="1" outlineLevel="1" x14ac:dyDescent="0.3">
      <c r="A25" s="619"/>
      <c r="B25" s="627"/>
      <c r="C25" s="54" t="s">
        <v>33</v>
      </c>
      <c r="D25" s="38">
        <f>' COMP.MAXFIO'!O22</f>
        <v>379.54650000000004</v>
      </c>
      <c r="E25" s="30">
        <v>0</v>
      </c>
      <c r="F25" s="31">
        <f t="shared" si="5"/>
        <v>499.40328947368425</v>
      </c>
      <c r="G25" s="32">
        <f t="shared" si="0"/>
        <v>0</v>
      </c>
      <c r="H25" s="33">
        <f t="shared" si="1"/>
        <v>0</v>
      </c>
      <c r="I25" s="34" t="e">
        <f t="shared" si="2"/>
        <v>#DIV/0!</v>
      </c>
      <c r="J25" s="35">
        <f>E25*' COMP.MAXFIO'!H22</f>
        <v>0</v>
      </c>
      <c r="K25" s="36">
        <v>23</v>
      </c>
    </row>
    <row r="26" spans="1:15" ht="14.25" customHeight="1" outlineLevel="1" x14ac:dyDescent="0.3">
      <c r="A26" s="619"/>
      <c r="B26" s="627"/>
      <c r="C26" s="54" t="s">
        <v>34</v>
      </c>
      <c r="D26" s="38">
        <f>' COMP.MAXFIO'!O23</f>
        <v>622.72124999999994</v>
      </c>
      <c r="E26" s="30">
        <v>0</v>
      </c>
      <c r="F26" s="31">
        <f t="shared" si="5"/>
        <v>819.37006578947364</v>
      </c>
      <c r="G26" s="32">
        <f t="shared" si="0"/>
        <v>0</v>
      </c>
      <c r="H26" s="33">
        <f t="shared" si="1"/>
        <v>0</v>
      </c>
      <c r="I26" s="34" t="e">
        <f t="shared" si="2"/>
        <v>#DIV/0!</v>
      </c>
      <c r="J26" s="35">
        <f>E26*' COMP.MAXFIO'!H23</f>
        <v>0</v>
      </c>
      <c r="K26" s="36">
        <v>23</v>
      </c>
    </row>
    <row r="27" spans="1:15" ht="14.25" customHeight="1" outlineLevel="1" x14ac:dyDescent="0.3">
      <c r="A27" s="619"/>
      <c r="B27" s="627"/>
      <c r="C27" s="54" t="s">
        <v>35</v>
      </c>
      <c r="D27" s="38">
        <f>' COMP.MAXFIO'!O24</f>
        <v>932.40862500000003</v>
      </c>
      <c r="E27" s="30">
        <v>0</v>
      </c>
      <c r="F27" s="31">
        <f t="shared" si="5"/>
        <v>1226.8534539473685</v>
      </c>
      <c r="G27" s="32">
        <f t="shared" si="0"/>
        <v>0</v>
      </c>
      <c r="H27" s="33">
        <f t="shared" si="1"/>
        <v>0</v>
      </c>
      <c r="I27" s="34" t="e">
        <f t="shared" si="2"/>
        <v>#DIV/0!</v>
      </c>
      <c r="J27" s="35">
        <f>E27*' COMP.MAXFIO'!H24</f>
        <v>0</v>
      </c>
      <c r="K27" s="36">
        <v>23</v>
      </c>
    </row>
    <row r="28" spans="1:15" ht="14.25" customHeight="1" outlineLevel="1" x14ac:dyDescent="0.3">
      <c r="A28" s="619"/>
      <c r="B28" s="627"/>
      <c r="C28" s="54" t="s">
        <v>36</v>
      </c>
      <c r="D28" s="38">
        <f>' COMP.MAXFIO'!O25</f>
        <v>1524.0737499999998</v>
      </c>
      <c r="E28" s="30">
        <v>0</v>
      </c>
      <c r="F28" s="31">
        <f t="shared" si="5"/>
        <v>2005.3601973684208</v>
      </c>
      <c r="G28" s="32">
        <f t="shared" si="0"/>
        <v>0</v>
      </c>
      <c r="H28" s="33">
        <f t="shared" si="1"/>
        <v>0</v>
      </c>
      <c r="I28" s="34" t="e">
        <f t="shared" si="2"/>
        <v>#DIV/0!</v>
      </c>
      <c r="J28" s="35">
        <f>E28*' COMP.MAXFIO'!H25</f>
        <v>0</v>
      </c>
      <c r="K28" s="36">
        <v>23</v>
      </c>
    </row>
    <row r="29" spans="1:15" ht="14.25" customHeight="1" outlineLevel="1" x14ac:dyDescent="0.3">
      <c r="A29" s="619"/>
      <c r="B29" s="627"/>
      <c r="C29" s="55" t="s">
        <v>37</v>
      </c>
      <c r="D29" s="38">
        <f>' COMP.MAXFIO'!O26</f>
        <v>2291.26125</v>
      </c>
      <c r="E29" s="30">
        <v>0</v>
      </c>
      <c r="F29" s="31">
        <f t="shared" si="5"/>
        <v>3014.8174342105262</v>
      </c>
      <c r="G29" s="32">
        <f t="shared" si="0"/>
        <v>0</v>
      </c>
      <c r="H29" s="33">
        <f t="shared" si="1"/>
        <v>0</v>
      </c>
      <c r="I29" s="34" t="e">
        <f t="shared" si="2"/>
        <v>#DIV/0!</v>
      </c>
      <c r="J29" s="35">
        <f>E29*' COMP.MAXFIO'!H26</f>
        <v>0</v>
      </c>
      <c r="K29" s="36">
        <v>23</v>
      </c>
    </row>
    <row r="30" spans="1:15" ht="14.25" customHeight="1" outlineLevel="1" x14ac:dyDescent="0.3">
      <c r="A30" s="619"/>
      <c r="B30" s="627"/>
      <c r="C30" s="55" t="s">
        <v>38</v>
      </c>
      <c r="D30" s="38">
        <f>' COMP.MAXFIO'!O27</f>
        <v>3460.1260000000002</v>
      </c>
      <c r="E30" s="30">
        <v>0</v>
      </c>
      <c r="F30" s="31">
        <f t="shared" si="5"/>
        <v>4552.7973684210529</v>
      </c>
      <c r="G30" s="32">
        <f t="shared" si="0"/>
        <v>0</v>
      </c>
      <c r="H30" s="33">
        <f t="shared" si="1"/>
        <v>0</v>
      </c>
      <c r="I30" s="34" t="e">
        <f t="shared" si="2"/>
        <v>#DIV/0!</v>
      </c>
      <c r="J30" s="35">
        <f>E30*' COMP.MAXFIO'!H27</f>
        <v>0</v>
      </c>
      <c r="K30" s="36">
        <v>24</v>
      </c>
    </row>
    <row r="31" spans="1:15" ht="14.25" customHeight="1" outlineLevel="1" x14ac:dyDescent="0.3">
      <c r="A31" s="619"/>
      <c r="B31" s="627"/>
      <c r="C31" s="56" t="s">
        <v>39</v>
      </c>
      <c r="D31" s="38">
        <f>' COMP.MAXFIO'!O28</f>
        <v>199.86969999999999</v>
      </c>
      <c r="E31" s="30">
        <v>0</v>
      </c>
      <c r="F31" s="31">
        <f t="shared" si="5"/>
        <v>262.98644736842107</v>
      </c>
      <c r="G31" s="32">
        <f t="shared" si="0"/>
        <v>0</v>
      </c>
      <c r="H31" s="33">
        <f t="shared" si="1"/>
        <v>0</v>
      </c>
      <c r="I31" s="34" t="e">
        <f t="shared" si="2"/>
        <v>#DIV/0!</v>
      </c>
      <c r="J31" s="35">
        <f>E31*' COMP.MAXFIO'!H28</f>
        <v>0</v>
      </c>
      <c r="K31" s="36">
        <v>23</v>
      </c>
    </row>
    <row r="32" spans="1:15" ht="14.25" customHeight="1" outlineLevel="1" x14ac:dyDescent="0.3">
      <c r="A32" s="619"/>
      <c r="B32" s="627"/>
      <c r="C32" s="57" t="s">
        <v>40</v>
      </c>
      <c r="D32" s="38">
        <f>' COMP.MAXFIO'!O29</f>
        <v>371.65250000000003</v>
      </c>
      <c r="E32" s="30">
        <v>0</v>
      </c>
      <c r="F32" s="31">
        <f t="shared" si="5"/>
        <v>489.0164473684211</v>
      </c>
      <c r="G32" s="32">
        <f t="shared" si="0"/>
        <v>0</v>
      </c>
      <c r="H32" s="33">
        <f t="shared" si="1"/>
        <v>0</v>
      </c>
      <c r="I32" s="34" t="e">
        <f t="shared" si="2"/>
        <v>#DIV/0!</v>
      </c>
      <c r="J32" s="35">
        <f>E32*' COMP.MAXFIO'!H29</f>
        <v>0</v>
      </c>
      <c r="K32" s="36">
        <v>23</v>
      </c>
    </row>
    <row r="33" spans="1:17" ht="14.25" customHeight="1" outlineLevel="1" x14ac:dyDescent="0.3">
      <c r="A33" s="619"/>
      <c r="B33" s="627"/>
      <c r="C33" s="57" t="s">
        <v>41</v>
      </c>
      <c r="D33" s="38">
        <f>' COMP.MAXFIO'!O30</f>
        <v>565.01149999999996</v>
      </c>
      <c r="E33" s="30">
        <v>0</v>
      </c>
      <c r="F33" s="31">
        <f t="shared" ref="F33:F54" si="6">D33/0.76</f>
        <v>743.43618421052622</v>
      </c>
      <c r="G33" s="32">
        <f t="shared" si="0"/>
        <v>0</v>
      </c>
      <c r="H33" s="33">
        <f t="shared" si="1"/>
        <v>0</v>
      </c>
      <c r="I33" s="34" t="e">
        <f t="shared" si="2"/>
        <v>#DIV/0!</v>
      </c>
      <c r="J33" s="35">
        <f>E33*' COMP.MAXFIO'!H30</f>
        <v>0</v>
      </c>
      <c r="K33" s="36">
        <v>23</v>
      </c>
    </row>
    <row r="34" spans="1:17" ht="14.25" customHeight="1" outlineLevel="1" x14ac:dyDescent="0.3">
      <c r="A34" s="619"/>
      <c r="B34" s="627"/>
      <c r="C34" s="57" t="s">
        <v>42</v>
      </c>
      <c r="D34" s="38">
        <f>' COMP.MAXFIO'!O31</f>
        <v>895.94157499999994</v>
      </c>
      <c r="E34" s="30">
        <v>0</v>
      </c>
      <c r="F34" s="31">
        <f t="shared" si="6"/>
        <v>1178.8704934210525</v>
      </c>
      <c r="G34" s="32">
        <f t="shared" si="0"/>
        <v>0</v>
      </c>
      <c r="H34" s="33">
        <f t="shared" si="1"/>
        <v>0</v>
      </c>
      <c r="I34" s="34" t="e">
        <f t="shared" si="2"/>
        <v>#DIV/0!</v>
      </c>
      <c r="J34" s="35">
        <f>E34*' COMP.MAXFIO'!H31</f>
        <v>0</v>
      </c>
      <c r="K34" s="36">
        <v>23</v>
      </c>
    </row>
    <row r="35" spans="1:17" ht="14.25" customHeight="1" outlineLevel="1" x14ac:dyDescent="0.3">
      <c r="A35" s="619"/>
      <c r="B35" s="627"/>
      <c r="C35" s="57" t="s">
        <v>43</v>
      </c>
      <c r="D35" s="38">
        <f>' COMP.MAXFIO'!O32</f>
        <v>1349.6324999999999</v>
      </c>
      <c r="E35" s="30">
        <v>0</v>
      </c>
      <c r="F35" s="31">
        <f t="shared" si="6"/>
        <v>1775.8322368421052</v>
      </c>
      <c r="G35" s="32">
        <f t="shared" si="0"/>
        <v>0</v>
      </c>
      <c r="H35" s="33">
        <f t="shared" si="1"/>
        <v>0</v>
      </c>
      <c r="I35" s="34" t="e">
        <f t="shared" si="2"/>
        <v>#DIV/0!</v>
      </c>
      <c r="J35" s="35">
        <f>E35*' COMP.MAXFIO'!H32</f>
        <v>0</v>
      </c>
      <c r="K35" s="36">
        <v>23</v>
      </c>
    </row>
    <row r="36" spans="1:17" ht="14.25" customHeight="1" outlineLevel="1" x14ac:dyDescent="0.3">
      <c r="A36" s="619"/>
      <c r="B36" s="627"/>
      <c r="C36" s="57" t="s">
        <v>44</v>
      </c>
      <c r="D36" s="38">
        <f>' COMP.MAXFIO'!O33</f>
        <v>2230.7662500000001</v>
      </c>
      <c r="E36" s="30">
        <v>0</v>
      </c>
      <c r="F36" s="31">
        <f t="shared" si="6"/>
        <v>2935.21875</v>
      </c>
      <c r="G36" s="32">
        <f t="shared" si="0"/>
        <v>0</v>
      </c>
      <c r="H36" s="33">
        <f t="shared" si="1"/>
        <v>0</v>
      </c>
      <c r="I36" s="34" t="e">
        <f t="shared" si="2"/>
        <v>#DIV/0!</v>
      </c>
      <c r="J36" s="35">
        <f>E36*' COMP.MAXFIO'!H33</f>
        <v>0</v>
      </c>
      <c r="K36" s="36">
        <v>23</v>
      </c>
    </row>
    <row r="37" spans="1:17" ht="14.25" customHeight="1" outlineLevel="1" x14ac:dyDescent="0.3">
      <c r="A37" s="619"/>
      <c r="B37" s="627"/>
      <c r="C37" s="58" t="s">
        <v>45</v>
      </c>
      <c r="D37" s="38">
        <f>' COMP.MAXFIO'!O34</f>
        <v>3325.9724999999999</v>
      </c>
      <c r="E37" s="30">
        <v>0</v>
      </c>
      <c r="F37" s="31">
        <f t="shared" si="6"/>
        <v>4376.2796052631575</v>
      </c>
      <c r="G37" s="32">
        <f t="shared" si="0"/>
        <v>0</v>
      </c>
      <c r="H37" s="33">
        <f t="shared" si="1"/>
        <v>0</v>
      </c>
      <c r="I37" s="34" t="e">
        <f t="shared" si="2"/>
        <v>#DIV/0!</v>
      </c>
      <c r="J37" s="35">
        <f>E37*' COMP.MAXFIO'!H34</f>
        <v>0</v>
      </c>
      <c r="K37" s="36">
        <v>23</v>
      </c>
      <c r="P37" s="59">
        <v>80</v>
      </c>
      <c r="Q37" s="59">
        <f>P37/P39</f>
        <v>0.8</v>
      </c>
    </row>
    <row r="38" spans="1:17" ht="14.25" customHeight="1" outlineLevel="1" x14ac:dyDescent="0.3">
      <c r="A38" s="619"/>
      <c r="B38" s="627"/>
      <c r="C38" s="58" t="s">
        <v>46</v>
      </c>
      <c r="D38" s="38">
        <f>' COMP.MAXFIO'!O35</f>
        <v>4972.9812500000007</v>
      </c>
      <c r="E38" s="30">
        <v>0</v>
      </c>
      <c r="F38" s="31">
        <f t="shared" si="6"/>
        <v>6543.3963815789484</v>
      </c>
      <c r="G38" s="32">
        <f t="shared" si="0"/>
        <v>0</v>
      </c>
      <c r="H38" s="33">
        <f t="shared" si="1"/>
        <v>0</v>
      </c>
      <c r="I38" s="34" t="e">
        <f t="shared" si="2"/>
        <v>#DIV/0!</v>
      </c>
      <c r="J38" s="35">
        <f>E38*' COMP.MAXFIO'!H35</f>
        <v>0</v>
      </c>
      <c r="K38" s="36">
        <v>24</v>
      </c>
    </row>
    <row r="39" spans="1:17" ht="14.25" customHeight="1" outlineLevel="1" x14ac:dyDescent="0.3">
      <c r="A39" s="619"/>
      <c r="B39" s="627"/>
      <c r="C39" s="60" t="s">
        <v>47</v>
      </c>
      <c r="D39" s="38">
        <f>' COMP.MAXFIO'!O36</f>
        <v>266.35960000000006</v>
      </c>
      <c r="E39" s="30">
        <v>0</v>
      </c>
      <c r="F39" s="31">
        <f t="shared" si="6"/>
        <v>350.47315789473691</v>
      </c>
      <c r="G39" s="32">
        <f t="shared" si="0"/>
        <v>0</v>
      </c>
      <c r="H39" s="33">
        <f t="shared" si="1"/>
        <v>0</v>
      </c>
      <c r="I39" s="34" t="e">
        <f t="shared" si="2"/>
        <v>#DIV/0!</v>
      </c>
      <c r="J39" s="35">
        <f>E39*' COMP.MAXFIO'!H36</f>
        <v>0</v>
      </c>
      <c r="K39" s="36">
        <v>23</v>
      </c>
      <c r="P39" s="59">
        <v>100</v>
      </c>
      <c r="Q39" s="59">
        <f>P39*Q37/P37</f>
        <v>1</v>
      </c>
    </row>
    <row r="40" spans="1:17" ht="14.25" customHeight="1" outlineLevel="1" x14ac:dyDescent="0.3">
      <c r="A40" s="619"/>
      <c r="B40" s="627"/>
      <c r="C40" s="61" t="s">
        <v>48</v>
      </c>
      <c r="D40" s="38">
        <f>' COMP.MAXFIO'!O37</f>
        <v>480.06</v>
      </c>
      <c r="E40" s="30">
        <v>0</v>
      </c>
      <c r="F40" s="31">
        <f t="shared" si="6"/>
        <v>631.65789473684208</v>
      </c>
      <c r="G40" s="32">
        <f t="shared" si="0"/>
        <v>0</v>
      </c>
      <c r="H40" s="33">
        <f t="shared" si="1"/>
        <v>0</v>
      </c>
      <c r="I40" s="34" t="e">
        <f t="shared" si="2"/>
        <v>#DIV/0!</v>
      </c>
      <c r="J40" s="35">
        <f>E40*' COMP.MAXFIO'!H37</f>
        <v>0</v>
      </c>
      <c r="K40" s="36">
        <v>23</v>
      </c>
      <c r="L40" s="62" t="s">
        <v>21</v>
      </c>
      <c r="M40" s="63"/>
      <c r="N40" s="64">
        <f>G55</f>
        <v>0</v>
      </c>
      <c r="O40" s="65" t="e">
        <f>N40/N41</f>
        <v>#DIV/0!</v>
      </c>
    </row>
    <row r="41" spans="1:17" ht="12" customHeight="1" outlineLevel="1" x14ac:dyDescent="0.4">
      <c r="A41" s="619"/>
      <c r="B41" s="627"/>
      <c r="C41" s="61" t="s">
        <v>49</v>
      </c>
      <c r="D41" s="38">
        <f>' COMP.MAXFIO'!O38</f>
        <v>725.32124999999996</v>
      </c>
      <c r="E41" s="30">
        <v>0</v>
      </c>
      <c r="F41" s="31">
        <f t="shared" si="6"/>
        <v>954.37006578947364</v>
      </c>
      <c r="G41" s="32">
        <f t="shared" si="0"/>
        <v>0</v>
      </c>
      <c r="H41" s="33">
        <f t="shared" si="1"/>
        <v>0</v>
      </c>
      <c r="I41" s="34" t="e">
        <f t="shared" si="2"/>
        <v>#DIV/0!</v>
      </c>
      <c r="J41" s="35">
        <f>E41*' COMP.MAXFIO'!H38</f>
        <v>0</v>
      </c>
      <c r="K41" s="36">
        <v>23</v>
      </c>
      <c r="L41" s="66" t="s">
        <v>50</v>
      </c>
      <c r="M41" s="67"/>
      <c r="N41" s="68">
        <f>H55</f>
        <v>0</v>
      </c>
      <c r="O41" s="69" t="e">
        <f>O40+O42</f>
        <v>#DIV/0!</v>
      </c>
    </row>
    <row r="42" spans="1:17" ht="13.5" customHeight="1" outlineLevel="1" x14ac:dyDescent="0.4">
      <c r="A42" s="619"/>
      <c r="B42" s="627"/>
      <c r="C42" s="61" t="s">
        <v>51</v>
      </c>
      <c r="D42" s="38">
        <f>' COMP.MAXFIO'!O39</f>
        <v>1195.7324999999998</v>
      </c>
      <c r="E42" s="30">
        <v>0</v>
      </c>
      <c r="F42" s="31">
        <f t="shared" si="6"/>
        <v>1573.332236842105</v>
      </c>
      <c r="G42" s="32">
        <f t="shared" si="0"/>
        <v>0</v>
      </c>
      <c r="H42" s="33">
        <f t="shared" si="1"/>
        <v>0</v>
      </c>
      <c r="I42" s="34" t="e">
        <f t="shared" si="2"/>
        <v>#DIV/0!</v>
      </c>
      <c r="J42" s="35">
        <f>E42*' COMP.MAXFIO'!H39</f>
        <v>0</v>
      </c>
      <c r="K42" s="36">
        <v>23</v>
      </c>
      <c r="L42" s="70" t="s">
        <v>52</v>
      </c>
      <c r="M42" s="71">
        <v>0</v>
      </c>
      <c r="N42" s="72">
        <f>N41-N40</f>
        <v>0</v>
      </c>
      <c r="O42" s="73" t="e">
        <f>(N42/N41)</f>
        <v>#DIV/0!</v>
      </c>
    </row>
    <row r="43" spans="1:17" ht="13.5" customHeight="1" outlineLevel="1" x14ac:dyDescent="0.4">
      <c r="A43" s="619"/>
      <c r="B43" s="627"/>
      <c r="C43" s="61" t="s">
        <v>53</v>
      </c>
      <c r="D43" s="38">
        <f>' COMP.MAXFIO'!O40</f>
        <v>1809.0199999999998</v>
      </c>
      <c r="E43" s="30">
        <v>0</v>
      </c>
      <c r="F43" s="31">
        <f t="shared" si="6"/>
        <v>2380.28947368421</v>
      </c>
      <c r="G43" s="32">
        <f t="shared" si="0"/>
        <v>0</v>
      </c>
      <c r="H43" s="33">
        <f t="shared" si="1"/>
        <v>0</v>
      </c>
      <c r="I43" s="34" t="e">
        <f t="shared" si="2"/>
        <v>#DIV/0!</v>
      </c>
      <c r="J43" s="35">
        <f>E43*' COMP.MAXFIO'!H40</f>
        <v>0</v>
      </c>
      <c r="K43" s="36">
        <v>23</v>
      </c>
      <c r="L43" s="70" t="s">
        <v>54</v>
      </c>
      <c r="M43" s="67" t="s">
        <v>27</v>
      </c>
      <c r="N43" s="72">
        <f>N40+N42</f>
        <v>0</v>
      </c>
      <c r="O43" s="73"/>
    </row>
    <row r="44" spans="1:17" ht="14.25" customHeight="1" outlineLevel="1" x14ac:dyDescent="0.3">
      <c r="A44" s="619"/>
      <c r="B44" s="627"/>
      <c r="C44" s="61" t="s">
        <v>55</v>
      </c>
      <c r="D44" s="38">
        <f>' COMP.MAXFIO'!O41</f>
        <v>2955.0425</v>
      </c>
      <c r="E44" s="30">
        <v>0</v>
      </c>
      <c r="F44" s="31">
        <f t="shared" si="6"/>
        <v>3888.2138157894738</v>
      </c>
      <c r="G44" s="32">
        <f t="shared" si="0"/>
        <v>0</v>
      </c>
      <c r="H44" s="33">
        <f t="shared" si="1"/>
        <v>0</v>
      </c>
      <c r="I44" s="34" t="e">
        <f t="shared" si="2"/>
        <v>#DIV/0!</v>
      </c>
      <c r="J44" s="35">
        <f>E44*' COMP.MAXFIO'!H41</f>
        <v>0</v>
      </c>
      <c r="K44" s="36">
        <v>23</v>
      </c>
      <c r="L44" s="74" t="s">
        <v>56</v>
      </c>
      <c r="M44" s="75">
        <v>0</v>
      </c>
      <c r="N44" s="76">
        <f t="shared" ref="N44:N49" si="7">($N$43*M44)</f>
        <v>0</v>
      </c>
      <c r="O44" s="77"/>
    </row>
    <row r="45" spans="1:17" ht="14.25" customHeight="1" outlineLevel="1" x14ac:dyDescent="0.3">
      <c r="A45" s="619"/>
      <c r="B45" s="627"/>
      <c r="C45" s="78" t="s">
        <v>57</v>
      </c>
      <c r="D45" s="38">
        <f>' COMP.MAXFIO'!O42</f>
        <v>4449.6250000000009</v>
      </c>
      <c r="E45" s="30">
        <v>0</v>
      </c>
      <c r="F45" s="31">
        <f t="shared" si="6"/>
        <v>5854.7697368421068</v>
      </c>
      <c r="G45" s="32">
        <f t="shared" si="0"/>
        <v>0</v>
      </c>
      <c r="H45" s="33">
        <f t="shared" si="1"/>
        <v>0</v>
      </c>
      <c r="I45" s="34" t="e">
        <f t="shared" si="2"/>
        <v>#DIV/0!</v>
      </c>
      <c r="J45" s="35">
        <f>E45*' COMP.MAXFIO'!H42</f>
        <v>0</v>
      </c>
      <c r="K45" s="36">
        <v>23</v>
      </c>
      <c r="L45" s="79" t="s">
        <v>58</v>
      </c>
      <c r="M45" s="75">
        <v>6.4999999999999997E-3</v>
      </c>
      <c r="N45" s="76">
        <f t="shared" si="7"/>
        <v>0</v>
      </c>
      <c r="O45" s="80"/>
    </row>
    <row r="46" spans="1:17" ht="15" customHeight="1" outlineLevel="1" x14ac:dyDescent="0.3">
      <c r="A46" s="619"/>
      <c r="B46" s="627"/>
      <c r="C46" s="81" t="s">
        <v>59</v>
      </c>
      <c r="D46" s="38">
        <f>' COMP.MAXFIO'!O43</f>
        <v>332.84950000000003</v>
      </c>
      <c r="E46" s="30">
        <v>0</v>
      </c>
      <c r="F46" s="31">
        <f t="shared" si="6"/>
        <v>437.95986842105265</v>
      </c>
      <c r="G46" s="32">
        <f t="shared" si="0"/>
        <v>0</v>
      </c>
      <c r="H46" s="33">
        <f t="shared" si="1"/>
        <v>0</v>
      </c>
      <c r="I46" s="34" t="e">
        <f t="shared" si="2"/>
        <v>#DIV/0!</v>
      </c>
      <c r="J46" s="35">
        <f>E46*' COMP.MAXFIO'!H43</f>
        <v>0</v>
      </c>
      <c r="K46" s="36">
        <v>23</v>
      </c>
      <c r="L46" s="82" t="s">
        <v>60</v>
      </c>
      <c r="M46" s="75">
        <v>0</v>
      </c>
      <c r="N46" s="76">
        <f t="shared" si="7"/>
        <v>0</v>
      </c>
      <c r="O46" s="80"/>
    </row>
    <row r="47" spans="1:17" ht="15" customHeight="1" outlineLevel="1" x14ac:dyDescent="0.3">
      <c r="A47" s="619"/>
      <c r="B47" s="627"/>
      <c r="C47" s="83" t="s">
        <v>61</v>
      </c>
      <c r="D47" s="38">
        <f>' COMP.MAXFIO'!O44</f>
        <v>593.12424999999996</v>
      </c>
      <c r="E47" s="30">
        <v>0</v>
      </c>
      <c r="F47" s="31">
        <f t="shared" si="6"/>
        <v>780.42664473684204</v>
      </c>
      <c r="G47" s="32">
        <f t="shared" si="0"/>
        <v>0</v>
      </c>
      <c r="H47" s="33">
        <f t="shared" si="1"/>
        <v>0</v>
      </c>
      <c r="I47" s="34" t="e">
        <f t="shared" si="2"/>
        <v>#DIV/0!</v>
      </c>
      <c r="J47" s="35">
        <f>E47*' COMP.MAXFIO'!H44</f>
        <v>0</v>
      </c>
      <c r="K47" s="36">
        <v>23</v>
      </c>
      <c r="L47" s="82" t="s">
        <v>62</v>
      </c>
      <c r="M47" s="75">
        <v>0</v>
      </c>
      <c r="N47" s="76">
        <f t="shared" si="7"/>
        <v>0</v>
      </c>
      <c r="O47" s="80"/>
    </row>
    <row r="48" spans="1:17" ht="14.25" customHeight="1" outlineLevel="1" x14ac:dyDescent="0.3">
      <c r="A48" s="619"/>
      <c r="B48" s="627"/>
      <c r="C48" s="84" t="s">
        <v>63</v>
      </c>
      <c r="D48" s="38">
        <f>' COMP.MAXFIO'!O45</f>
        <v>925.25124999999991</v>
      </c>
      <c r="E48" s="30">
        <v>0</v>
      </c>
      <c r="F48" s="31">
        <f t="shared" si="6"/>
        <v>1217.4358552631577</v>
      </c>
      <c r="G48" s="32">
        <f t="shared" si="0"/>
        <v>0</v>
      </c>
      <c r="H48" s="33">
        <f t="shared" si="1"/>
        <v>0</v>
      </c>
      <c r="I48" s="34" t="e">
        <f t="shared" si="2"/>
        <v>#DIV/0!</v>
      </c>
      <c r="J48" s="35">
        <f>E48*' COMP.MAXFIO'!H45</f>
        <v>0</v>
      </c>
      <c r="K48" s="36">
        <v>23</v>
      </c>
      <c r="L48" s="82" t="s">
        <v>64</v>
      </c>
      <c r="M48" s="75">
        <v>0</v>
      </c>
      <c r="N48" s="76">
        <f t="shared" si="7"/>
        <v>0</v>
      </c>
      <c r="O48" s="80"/>
    </row>
    <row r="49" spans="1:27" ht="14.25" customHeight="1" outlineLevel="1" x14ac:dyDescent="0.3">
      <c r="A49" s="619"/>
      <c r="B49" s="627"/>
      <c r="C49" s="85" t="s">
        <v>65</v>
      </c>
      <c r="D49" s="38">
        <f>' COMP.MAXFIO'!O46</f>
        <v>415.21975000000003</v>
      </c>
      <c r="E49" s="30">
        <v>0</v>
      </c>
      <c r="F49" s="31">
        <f t="shared" si="6"/>
        <v>546.3417763157895</v>
      </c>
      <c r="G49" s="32">
        <f t="shared" si="0"/>
        <v>0</v>
      </c>
      <c r="H49" s="33">
        <f t="shared" si="1"/>
        <v>0</v>
      </c>
      <c r="I49" s="34" t="e">
        <f t="shared" si="2"/>
        <v>#DIV/0!</v>
      </c>
      <c r="J49" s="35">
        <f>E49*' COMP.MAXFIO'!H46</f>
        <v>0</v>
      </c>
      <c r="K49" s="36">
        <v>23</v>
      </c>
      <c r="L49" s="82" t="s">
        <v>66</v>
      </c>
      <c r="M49" s="75">
        <v>0</v>
      </c>
      <c r="N49" s="76">
        <f t="shared" si="7"/>
        <v>0</v>
      </c>
      <c r="O49" s="80"/>
    </row>
    <row r="50" spans="1:27" ht="15.75" customHeight="1" outlineLevel="1" x14ac:dyDescent="0.4">
      <c r="A50" s="619"/>
      <c r="B50" s="627"/>
      <c r="C50" s="86" t="s">
        <v>67</v>
      </c>
      <c r="D50" s="38">
        <f>' COMP.MAXFIO'!O47</f>
        <v>701.5424999999999</v>
      </c>
      <c r="E50" s="30">
        <v>0</v>
      </c>
      <c r="F50" s="31">
        <f t="shared" si="6"/>
        <v>923.08223684210509</v>
      </c>
      <c r="G50" s="32">
        <f t="shared" si="0"/>
        <v>0</v>
      </c>
      <c r="H50" s="33">
        <f t="shared" si="1"/>
        <v>0</v>
      </c>
      <c r="I50" s="34" t="e">
        <f t="shared" si="2"/>
        <v>#DIV/0!</v>
      </c>
      <c r="J50" s="35">
        <f>E50*' COMP.MAXFIO'!H47</f>
        <v>0</v>
      </c>
      <c r="K50" s="36">
        <v>23</v>
      </c>
      <c r="L50" s="87" t="s">
        <v>68</v>
      </c>
      <c r="M50" s="88"/>
      <c r="N50" s="89">
        <f>N44+N45+N46+N47+N48+N49</f>
        <v>0</v>
      </c>
      <c r="O50" s="90" t="e">
        <f>N50/N43</f>
        <v>#DIV/0!</v>
      </c>
      <c r="P50" s="91"/>
      <c r="Q50" s="92"/>
      <c r="R50" s="92"/>
    </row>
    <row r="51" spans="1:27" ht="17.25" customHeight="1" outlineLevel="1" x14ac:dyDescent="0.4">
      <c r="A51" s="619"/>
      <c r="B51" s="627"/>
      <c r="C51" s="93" t="s">
        <v>69</v>
      </c>
      <c r="D51" s="38">
        <f>' COMP.MAXFIO'!O48</f>
        <v>1142.4424999999999</v>
      </c>
      <c r="E51" s="30">
        <v>0</v>
      </c>
      <c r="F51" s="31">
        <f t="shared" si="6"/>
        <v>1503.2138157894735</v>
      </c>
      <c r="G51" s="32">
        <f t="shared" si="0"/>
        <v>0</v>
      </c>
      <c r="H51" s="33">
        <f t="shared" si="1"/>
        <v>0</v>
      </c>
      <c r="I51" s="34" t="e">
        <f t="shared" si="2"/>
        <v>#DIV/0!</v>
      </c>
      <c r="J51" s="35">
        <f>E51*' COMP.MAXFIO'!H48</f>
        <v>0</v>
      </c>
      <c r="K51" s="36">
        <v>23</v>
      </c>
      <c r="L51" s="94" t="s">
        <v>70</v>
      </c>
      <c r="M51" s="88"/>
      <c r="N51" s="95">
        <f>N43-N50</f>
        <v>0</v>
      </c>
      <c r="O51" s="73"/>
      <c r="P51" s="96" t="s">
        <v>71</v>
      </c>
      <c r="Q51" s="92"/>
      <c r="R51" s="92"/>
    </row>
    <row r="52" spans="1:27" ht="18" customHeight="1" outlineLevel="1" x14ac:dyDescent="0.4">
      <c r="A52" s="619"/>
      <c r="B52" s="627"/>
      <c r="C52" s="97" t="s">
        <v>72</v>
      </c>
      <c r="D52" s="38">
        <f>' COMP.MAXFIO'!O49</f>
        <v>451.56000000000006</v>
      </c>
      <c r="E52" s="30">
        <v>0</v>
      </c>
      <c r="F52" s="31">
        <f t="shared" si="6"/>
        <v>594.1578947368422</v>
      </c>
      <c r="G52" s="32">
        <f t="shared" si="0"/>
        <v>0</v>
      </c>
      <c r="H52" s="33">
        <f t="shared" si="1"/>
        <v>0</v>
      </c>
      <c r="I52" s="34" t="e">
        <f t="shared" si="2"/>
        <v>#DIV/0!</v>
      </c>
      <c r="J52" s="35">
        <f>E52*' COMP.MAXFIO'!H49</f>
        <v>0</v>
      </c>
      <c r="K52" s="36">
        <v>23</v>
      </c>
      <c r="L52" s="98" t="s">
        <v>73</v>
      </c>
      <c r="M52" s="99"/>
      <c r="N52" s="100">
        <f>N51-N40</f>
        <v>0</v>
      </c>
      <c r="O52" s="101" t="e">
        <f>(N52/N41)</f>
        <v>#DIV/0!</v>
      </c>
      <c r="P52" s="102" t="s">
        <v>74</v>
      </c>
      <c r="Q52" s="92"/>
      <c r="R52" s="92"/>
    </row>
    <row r="53" spans="1:27" ht="20.25" customHeight="1" outlineLevel="1" x14ac:dyDescent="0.45">
      <c r="A53" s="619"/>
      <c r="B53" s="627"/>
      <c r="C53" s="103" t="s">
        <v>75</v>
      </c>
      <c r="D53" s="38">
        <f>' COMP.MAXFIO'!O50</f>
        <v>820.3175</v>
      </c>
      <c r="E53" s="30">
        <v>0</v>
      </c>
      <c r="F53" s="31">
        <f t="shared" si="6"/>
        <v>1079.3651315789473</v>
      </c>
      <c r="G53" s="32">
        <f t="shared" si="0"/>
        <v>0</v>
      </c>
      <c r="H53" s="33">
        <f t="shared" si="1"/>
        <v>0</v>
      </c>
      <c r="I53" s="34" t="e">
        <f t="shared" si="2"/>
        <v>#DIV/0!</v>
      </c>
      <c r="J53" s="35">
        <f>E53*' COMP.MAXFIO'!H50</f>
        <v>0</v>
      </c>
      <c r="K53" s="36">
        <v>23</v>
      </c>
      <c r="L53" s="104" t="s">
        <v>76</v>
      </c>
      <c r="M53" s="105"/>
      <c r="N53" s="106" t="e">
        <f ca="1">ARRAY_CONSTRAIN(ARRAYFORMULA(_xlfn.IFS(N51&gt;=VIABILIDADE!#REF!,"APROVADA",N51&lt;VIABILIDADE!#REF!,"REPROVADA")), 1, 1)</f>
        <v>#NAME?</v>
      </c>
      <c r="O53" s="107"/>
      <c r="Q53" s="92"/>
      <c r="R53" s="92"/>
    </row>
    <row r="54" spans="1:27" ht="14.25" customHeight="1" outlineLevel="1" x14ac:dyDescent="0.3">
      <c r="A54" s="620"/>
      <c r="B54" s="596"/>
      <c r="C54" s="108" t="s">
        <v>77</v>
      </c>
      <c r="D54" s="38">
        <f>' COMP.MAXFIO'!O51</f>
        <v>1330.8649999999998</v>
      </c>
      <c r="E54" s="41">
        <v>0</v>
      </c>
      <c r="F54" s="31">
        <f t="shared" si="6"/>
        <v>1751.1381578947364</v>
      </c>
      <c r="G54" s="43">
        <f t="shared" si="0"/>
        <v>0</v>
      </c>
      <c r="H54" s="44">
        <f t="shared" si="1"/>
        <v>0</v>
      </c>
      <c r="I54" s="45" t="e">
        <f t="shared" si="2"/>
        <v>#DIV/0!</v>
      </c>
      <c r="J54" s="35">
        <f>E54*' COMP.MAXFIO'!H51</f>
        <v>0</v>
      </c>
      <c r="K54" s="36">
        <v>23</v>
      </c>
    </row>
    <row r="55" spans="1:27" ht="24" customHeight="1" x14ac:dyDescent="0.35">
      <c r="A55" s="628" t="s">
        <v>78</v>
      </c>
      <c r="B55" s="600"/>
      <c r="C55" s="600"/>
      <c r="D55" s="629"/>
      <c r="E55" s="109">
        <f>SUM(E9:E54)</f>
        <v>0</v>
      </c>
      <c r="F55" s="110"/>
      <c r="G55" s="111">
        <f t="shared" ref="G55:H55" si="8">SUM(G9:G54)</f>
        <v>0</v>
      </c>
      <c r="H55" s="110">
        <f t="shared" si="8"/>
        <v>0</v>
      </c>
      <c r="I55" s="112" t="e">
        <f t="shared" si="2"/>
        <v>#DIV/0!</v>
      </c>
      <c r="J55" s="113">
        <f>SUM(J11:J54)</f>
        <v>0</v>
      </c>
      <c r="K55" s="114"/>
      <c r="M55" s="115" t="s">
        <v>79</v>
      </c>
      <c r="N55" s="116"/>
      <c r="O55" s="117"/>
      <c r="S55" s="92"/>
      <c r="T55" s="92"/>
      <c r="U55" s="92"/>
      <c r="V55" s="92"/>
      <c r="W55" s="92"/>
      <c r="X55" s="92"/>
      <c r="Y55" s="92"/>
      <c r="Z55" s="92"/>
      <c r="AA55" s="92"/>
    </row>
    <row r="56" spans="1:27" ht="14.25" customHeight="1" x14ac:dyDescent="0.35">
      <c r="C56" s="1"/>
      <c r="D56" s="118"/>
      <c r="E56" s="119"/>
      <c r="F56" s="120"/>
      <c r="G56" s="121"/>
      <c r="H56" s="122"/>
      <c r="I56" s="123"/>
      <c r="L56" s="4"/>
    </row>
    <row r="57" spans="1:27" ht="14.25" customHeight="1" thickBot="1" x14ac:dyDescent="0.4">
      <c r="A57" s="630" t="s">
        <v>12</v>
      </c>
      <c r="B57" s="631"/>
      <c r="C57" s="631"/>
      <c r="D57" s="631"/>
      <c r="E57" s="631"/>
      <c r="F57" s="631"/>
      <c r="G57" s="631"/>
      <c r="H57" s="631"/>
      <c r="I57" s="632"/>
    </row>
    <row r="58" spans="1:27" ht="15" customHeight="1" outlineLevel="1" x14ac:dyDescent="0.3">
      <c r="A58" s="633" t="s">
        <v>80</v>
      </c>
      <c r="B58" s="636" t="s">
        <v>28</v>
      </c>
      <c r="C58" s="124">
        <f>'COMP.ALFA (2)'!B6</f>
        <v>1</v>
      </c>
      <c r="D58" s="125">
        <f>'COMP.ALFA (2)'!N6</f>
        <v>39.797100000000007</v>
      </c>
      <c r="E58" s="53">
        <v>0</v>
      </c>
      <c r="F58" s="126">
        <f>D58</f>
        <v>39.797100000000007</v>
      </c>
      <c r="G58" s="47">
        <f t="shared" ref="G58:G75" si="9">E58*D58</f>
        <v>0</v>
      </c>
      <c r="H58" s="48">
        <f t="shared" ref="H58:H74" si="10">E58*F58</f>
        <v>0</v>
      </c>
      <c r="I58" s="49" t="e">
        <f t="shared" ref="I58:I76" si="11">1-(G58/H58)</f>
        <v>#DIV/0!</v>
      </c>
      <c r="J58" s="127">
        <f>E58*'COMP.ALFA (2)'!H6</f>
        <v>0</v>
      </c>
      <c r="K58" s="127"/>
    </row>
    <row r="59" spans="1:27" ht="15.75" customHeight="1" outlineLevel="1" thickBot="1" x14ac:dyDescent="0.35">
      <c r="A59" s="634"/>
      <c r="B59" s="637"/>
      <c r="C59" s="128">
        <f>'COMP.ALFA (2)'!B7</f>
        <v>1.5</v>
      </c>
      <c r="D59" s="129">
        <f>'COMP.ALFA (2)'!N7</f>
        <v>63.622100000000003</v>
      </c>
      <c r="E59" s="30">
        <v>0</v>
      </c>
      <c r="F59" s="130">
        <f>D59/0.74</f>
        <v>85.975810810810813</v>
      </c>
      <c r="G59" s="32">
        <f t="shared" si="9"/>
        <v>0</v>
      </c>
      <c r="H59" s="33">
        <f t="shared" si="10"/>
        <v>0</v>
      </c>
      <c r="I59" s="34" t="e">
        <f t="shared" si="11"/>
        <v>#DIV/0!</v>
      </c>
      <c r="J59" s="127">
        <f>E59*'COMP.ALFA (2)'!H7</f>
        <v>0</v>
      </c>
      <c r="K59" s="127"/>
    </row>
    <row r="60" spans="1:27" ht="16.5" customHeight="1" outlineLevel="1" thickBot="1" x14ac:dyDescent="0.35">
      <c r="A60" s="634"/>
      <c r="B60" s="637"/>
      <c r="C60" s="128">
        <f>'COMP.ALFA (2)'!B8</f>
        <v>2.5</v>
      </c>
      <c r="D60" s="129">
        <f>'COMP.ALFA (2)'!N8</f>
        <v>105.4572</v>
      </c>
      <c r="E60" s="30">
        <v>0</v>
      </c>
      <c r="F60" s="130">
        <f>D60/0.805</f>
        <v>131.00273291925464</v>
      </c>
      <c r="G60" s="32">
        <f t="shared" si="9"/>
        <v>0</v>
      </c>
      <c r="H60" s="33">
        <f t="shared" si="10"/>
        <v>0</v>
      </c>
      <c r="I60" s="34" t="e">
        <f t="shared" si="11"/>
        <v>#DIV/0!</v>
      </c>
      <c r="J60" s="127">
        <f>E60*'COMP.ALFA (2)'!H8</f>
        <v>0</v>
      </c>
      <c r="K60" s="127"/>
      <c r="L60" s="62" t="s">
        <v>21</v>
      </c>
      <c r="M60" s="63"/>
      <c r="N60" s="64">
        <f>G76</f>
        <v>0</v>
      </c>
      <c r="O60" s="131" t="e">
        <f>N60/N61</f>
        <v>#DIV/0!</v>
      </c>
    </row>
    <row r="61" spans="1:27" ht="15" customHeight="1" outlineLevel="1" thickBot="1" x14ac:dyDescent="0.45">
      <c r="A61" s="634"/>
      <c r="B61" s="637"/>
      <c r="C61" s="128">
        <f>'COMP.ALFA (2)'!B9</f>
        <v>4</v>
      </c>
      <c r="D61" s="129">
        <f>'COMP.ALFA (2)'!N9</f>
        <v>154.03059999999999</v>
      </c>
      <c r="E61" s="30">
        <v>0</v>
      </c>
      <c r="F61" s="130">
        <f>D61/0.74</f>
        <v>208.14945945945945</v>
      </c>
      <c r="G61" s="32">
        <f t="shared" si="9"/>
        <v>0</v>
      </c>
      <c r="H61" s="33">
        <f t="shared" si="10"/>
        <v>0</v>
      </c>
      <c r="I61" s="34" t="e">
        <f t="shared" si="11"/>
        <v>#DIV/0!</v>
      </c>
      <c r="J61" s="127">
        <f>E61*'COMP.ALFA (2)'!H9</f>
        <v>0</v>
      </c>
      <c r="K61" s="127"/>
      <c r="L61" s="66" t="s">
        <v>50</v>
      </c>
      <c r="M61" s="67"/>
      <c r="N61" s="72">
        <f>H76</f>
        <v>0</v>
      </c>
      <c r="O61" s="73" t="e">
        <f>O60+O62</f>
        <v>#DIV/0!</v>
      </c>
    </row>
    <row r="62" spans="1:27" ht="18" customHeight="1" outlineLevel="1" thickBot="1" x14ac:dyDescent="0.45">
      <c r="A62" s="634"/>
      <c r="B62" s="637"/>
      <c r="C62" s="128">
        <f>'COMP.ALFA (2)'!B10</f>
        <v>6</v>
      </c>
      <c r="D62" s="129">
        <f>'COMP.ALFA (2)'!N10</f>
        <v>234.94729999999998</v>
      </c>
      <c r="E62" s="30">
        <v>0</v>
      </c>
      <c r="F62" s="130">
        <f>D62/0.74</f>
        <v>317.49635135135134</v>
      </c>
      <c r="G62" s="32">
        <f t="shared" si="9"/>
        <v>0</v>
      </c>
      <c r="H62" s="33">
        <f t="shared" si="10"/>
        <v>0</v>
      </c>
      <c r="I62" s="34" t="e">
        <f t="shared" si="11"/>
        <v>#DIV/0!</v>
      </c>
      <c r="J62" s="127">
        <f>E62*'COMP.ALFA (2)'!H10</f>
        <v>0</v>
      </c>
      <c r="K62" s="127"/>
      <c r="L62" s="66" t="s">
        <v>52</v>
      </c>
      <c r="M62" s="71">
        <v>0</v>
      </c>
      <c r="N62" s="72">
        <f>N61-N60</f>
        <v>0</v>
      </c>
      <c r="O62" s="73" t="e">
        <f>(N62/N61)</f>
        <v>#DIV/0!</v>
      </c>
    </row>
    <row r="63" spans="1:27" ht="17.25" customHeight="1" outlineLevel="1" thickBot="1" x14ac:dyDescent="0.45">
      <c r="A63" s="634"/>
      <c r="B63" s="637"/>
      <c r="C63" s="128">
        <f>'COMP.ALFA (2)'!B11</f>
        <v>10</v>
      </c>
      <c r="D63" s="129">
        <f>'COMP.ALFA (2)'!N11</f>
        <v>414.80750000000006</v>
      </c>
      <c r="E63" s="30">
        <v>0</v>
      </c>
      <c r="F63" s="130">
        <f>D63/0.75</f>
        <v>553.07666666666671</v>
      </c>
      <c r="G63" s="32">
        <f t="shared" si="9"/>
        <v>0</v>
      </c>
      <c r="H63" s="33">
        <f t="shared" si="10"/>
        <v>0</v>
      </c>
      <c r="I63" s="34" t="e">
        <f t="shared" si="11"/>
        <v>#DIV/0!</v>
      </c>
      <c r="J63" s="127">
        <f>E63*'COMP.ALFA (2)'!H11</f>
        <v>0</v>
      </c>
      <c r="K63" s="127"/>
      <c r="L63" s="66" t="s">
        <v>54</v>
      </c>
      <c r="M63" s="67" t="s">
        <v>27</v>
      </c>
      <c r="N63" s="72">
        <f>N60+N62</f>
        <v>0</v>
      </c>
      <c r="O63" s="73"/>
      <c r="Q63" s="639" t="s">
        <v>81</v>
      </c>
      <c r="R63" s="640"/>
    </row>
    <row r="64" spans="1:27" ht="14.25" customHeight="1" outlineLevel="1" thickBot="1" x14ac:dyDescent="0.35">
      <c r="A64" s="634"/>
      <c r="B64" s="638"/>
      <c r="C64" s="132">
        <f>'COMP.ALFA (2)'!B12</f>
        <v>16</v>
      </c>
      <c r="D64" s="133">
        <f>'COMP.ALFA (2)'!N12</f>
        <v>600.89750000000004</v>
      </c>
      <c r="E64" s="41">
        <v>0</v>
      </c>
      <c r="F64" s="130">
        <f>D64/0.75</f>
        <v>801.19666666666672</v>
      </c>
      <c r="G64" s="43">
        <f t="shared" si="9"/>
        <v>0</v>
      </c>
      <c r="H64" s="44">
        <f t="shared" si="10"/>
        <v>0</v>
      </c>
      <c r="I64" s="45" t="e">
        <f t="shared" si="11"/>
        <v>#DIV/0!</v>
      </c>
      <c r="J64" s="127">
        <f>E64*'COMP.ALFA (2)'!H12</f>
        <v>0</v>
      </c>
      <c r="K64" s="127"/>
      <c r="L64" s="74" t="s">
        <v>56</v>
      </c>
      <c r="M64" s="75">
        <v>0</v>
      </c>
      <c r="N64" s="76">
        <f t="shared" ref="N64:N69" si="12">($N$63*M64)</f>
        <v>0</v>
      </c>
      <c r="O64" s="77"/>
      <c r="Q64" s="134" t="s">
        <v>82</v>
      </c>
      <c r="R64" s="135" t="e">
        <f>#REF!</f>
        <v>#REF!</v>
      </c>
    </row>
    <row r="65" spans="1:27" ht="14.25" customHeight="1" outlineLevel="1" x14ac:dyDescent="0.3">
      <c r="A65" s="634"/>
      <c r="B65" s="641" t="s">
        <v>29</v>
      </c>
      <c r="C65" s="136" t="s">
        <v>83</v>
      </c>
      <c r="D65" s="137">
        <f>'COMP.ALFA (2)'!N13</f>
        <v>76.247129696000002</v>
      </c>
      <c r="E65" s="30">
        <v>0</v>
      </c>
      <c r="F65" s="130">
        <f>D65/0.74</f>
        <v>103.03666175135136</v>
      </c>
      <c r="G65" s="32">
        <f t="shared" si="9"/>
        <v>0</v>
      </c>
      <c r="H65" s="33">
        <f t="shared" si="10"/>
        <v>0</v>
      </c>
      <c r="I65" s="34" t="e">
        <f t="shared" si="11"/>
        <v>#DIV/0!</v>
      </c>
      <c r="J65" s="127">
        <f>E65*'COMP.ALFA (2)'!H13</f>
        <v>0</v>
      </c>
      <c r="K65" s="127"/>
      <c r="L65" s="79" t="s">
        <v>58</v>
      </c>
      <c r="M65" s="75">
        <v>6.4999999999999997E-3</v>
      </c>
      <c r="N65" s="76">
        <f t="shared" si="12"/>
        <v>0</v>
      </c>
      <c r="O65" s="80"/>
      <c r="Q65" s="138"/>
      <c r="R65" s="139"/>
    </row>
    <row r="66" spans="1:27" ht="14.25" customHeight="1" outlineLevel="1" x14ac:dyDescent="0.3">
      <c r="A66" s="634"/>
      <c r="B66" s="637"/>
      <c r="C66" s="128" t="s">
        <v>84</v>
      </c>
      <c r="D66" s="140">
        <f>'COMP.ALFA (2)'!N14</f>
        <v>96.090138976000006</v>
      </c>
      <c r="E66" s="30">
        <v>0</v>
      </c>
      <c r="F66" s="130">
        <f t="shared" ref="F66:F69" si="13">D66/0.74</f>
        <v>129.85153915675676</v>
      </c>
      <c r="G66" s="32">
        <f t="shared" si="9"/>
        <v>0</v>
      </c>
      <c r="H66" s="33">
        <f t="shared" si="10"/>
        <v>0</v>
      </c>
      <c r="I66" s="34" t="e">
        <f t="shared" si="11"/>
        <v>#DIV/0!</v>
      </c>
      <c r="J66" s="127">
        <f>E66*'COMP.ALFA (2)'!H14</f>
        <v>0</v>
      </c>
      <c r="K66" s="127"/>
      <c r="L66" s="82" t="s">
        <v>60</v>
      </c>
      <c r="M66" s="75">
        <v>0</v>
      </c>
      <c r="N66" s="76">
        <f t="shared" si="12"/>
        <v>0</v>
      </c>
      <c r="O66" s="80"/>
      <c r="Q66" s="138"/>
      <c r="R66" s="139"/>
    </row>
    <row r="67" spans="1:27" ht="15" customHeight="1" outlineLevel="1" x14ac:dyDescent="0.3">
      <c r="A67" s="634"/>
      <c r="B67" s="637"/>
      <c r="C67" s="128" t="s">
        <v>85</v>
      </c>
      <c r="D67" s="140">
        <f>'COMP.ALFA (2)'!N15</f>
        <v>128.491342688</v>
      </c>
      <c r="E67" s="30">
        <v>0</v>
      </c>
      <c r="F67" s="130">
        <f t="shared" si="13"/>
        <v>173.63694957837839</v>
      </c>
      <c r="G67" s="32">
        <f t="shared" si="9"/>
        <v>0</v>
      </c>
      <c r="H67" s="33">
        <f t="shared" si="10"/>
        <v>0</v>
      </c>
      <c r="I67" s="34" t="e">
        <f t="shared" si="11"/>
        <v>#DIV/0!</v>
      </c>
      <c r="J67" s="127">
        <f>E67*'COMP.ALFA (2)'!H15</f>
        <v>0</v>
      </c>
      <c r="K67" s="127"/>
      <c r="L67" s="82" t="s">
        <v>62</v>
      </c>
      <c r="M67" s="75">
        <v>0</v>
      </c>
      <c r="N67" s="76">
        <f t="shared" si="12"/>
        <v>0</v>
      </c>
      <c r="O67" s="80"/>
    </row>
    <row r="68" spans="1:27" ht="14.25" customHeight="1" outlineLevel="1" x14ac:dyDescent="0.3">
      <c r="A68" s="634"/>
      <c r="B68" s="637"/>
      <c r="C68" s="128" t="s">
        <v>86</v>
      </c>
      <c r="D68" s="140">
        <f>'COMP.ALFA (2)'!N16</f>
        <v>209.49435196799999</v>
      </c>
      <c r="E68" s="30">
        <v>0</v>
      </c>
      <c r="F68" s="130">
        <f>D68/0.81</f>
        <v>258.63500242962959</v>
      </c>
      <c r="G68" s="32">
        <f t="shared" si="9"/>
        <v>0</v>
      </c>
      <c r="H68" s="33">
        <f t="shared" si="10"/>
        <v>0</v>
      </c>
      <c r="I68" s="34" t="e">
        <f t="shared" si="11"/>
        <v>#DIV/0!</v>
      </c>
      <c r="J68" s="127">
        <f>E68*'COMP.ALFA (2)'!H16</f>
        <v>0</v>
      </c>
      <c r="K68" s="127"/>
      <c r="L68" s="82" t="s">
        <v>64</v>
      </c>
      <c r="M68" s="75">
        <v>0</v>
      </c>
      <c r="N68" s="76">
        <f t="shared" si="12"/>
        <v>0</v>
      </c>
      <c r="O68" s="80"/>
    </row>
    <row r="69" spans="1:27" ht="14.25" customHeight="1" outlineLevel="1" thickBot="1" x14ac:dyDescent="0.35">
      <c r="A69" s="634"/>
      <c r="B69" s="638"/>
      <c r="C69" s="128" t="s">
        <v>34</v>
      </c>
      <c r="D69" s="141">
        <f>'COMP.ALFA (2)'!N17</f>
        <v>307.60856495999997</v>
      </c>
      <c r="E69" s="41">
        <v>0</v>
      </c>
      <c r="F69" s="130">
        <f t="shared" si="13"/>
        <v>415.68724994594589</v>
      </c>
      <c r="G69" s="43">
        <f t="shared" si="9"/>
        <v>0</v>
      </c>
      <c r="H69" s="44">
        <f t="shared" si="10"/>
        <v>0</v>
      </c>
      <c r="I69" s="45" t="e">
        <f t="shared" si="11"/>
        <v>#DIV/0!</v>
      </c>
      <c r="J69" s="127">
        <f>E69*'COMP.ALFA (2)'!H17</f>
        <v>0</v>
      </c>
      <c r="K69" s="127"/>
      <c r="L69" s="82" t="s">
        <v>66</v>
      </c>
      <c r="M69" s="75">
        <v>0</v>
      </c>
      <c r="N69" s="76">
        <f t="shared" si="12"/>
        <v>0</v>
      </c>
      <c r="O69" s="80"/>
    </row>
    <row r="70" spans="1:27" ht="18" customHeight="1" outlineLevel="1" thickBot="1" x14ac:dyDescent="0.45">
      <c r="A70" s="634"/>
      <c r="B70" s="636" t="s">
        <v>30</v>
      </c>
      <c r="C70" s="128" t="s">
        <v>85</v>
      </c>
      <c r="D70" s="137">
        <f>'COMP.ALFA (2)'!N18</f>
        <v>179.96299999999999</v>
      </c>
      <c r="E70" s="53">
        <v>0</v>
      </c>
      <c r="F70" s="130">
        <f>D70/0.66</f>
        <v>272.67121212121208</v>
      </c>
      <c r="G70" s="47">
        <f t="shared" si="9"/>
        <v>0</v>
      </c>
      <c r="H70" s="48">
        <f t="shared" si="10"/>
        <v>0</v>
      </c>
      <c r="I70" s="49" t="e">
        <f t="shared" si="11"/>
        <v>#DIV/0!</v>
      </c>
      <c r="J70" s="127">
        <f>E70*'COMP.ALFA (2)'!H18</f>
        <v>0</v>
      </c>
      <c r="K70" s="127"/>
      <c r="L70" s="87" t="s">
        <v>68</v>
      </c>
      <c r="M70" s="88"/>
      <c r="N70" s="142">
        <f>N64+N65+N66+N67+N68+N69</f>
        <v>0</v>
      </c>
      <c r="O70" s="73" t="e">
        <f>N70/N63</f>
        <v>#DIV/0!</v>
      </c>
    </row>
    <row r="71" spans="1:27" ht="15.75" customHeight="1" outlineLevel="1" thickBot="1" x14ac:dyDescent="0.45">
      <c r="A71" s="634"/>
      <c r="B71" s="637"/>
      <c r="C71" s="128" t="s">
        <v>86</v>
      </c>
      <c r="D71" s="140">
        <f>'COMP.ALFA (2)'!N19</f>
        <v>269.25510000000003</v>
      </c>
      <c r="E71" s="30">
        <v>0</v>
      </c>
      <c r="F71" s="130">
        <f>D71/0.69</f>
        <v>390.2247826086957</v>
      </c>
      <c r="G71" s="32">
        <f t="shared" si="9"/>
        <v>0</v>
      </c>
      <c r="H71" s="33">
        <f t="shared" si="10"/>
        <v>0</v>
      </c>
      <c r="I71" s="34" t="e">
        <f t="shared" si="11"/>
        <v>#DIV/0!</v>
      </c>
      <c r="J71" s="127">
        <f>E71*'COMP.ALFA (2)'!H19</f>
        <v>0</v>
      </c>
      <c r="K71" s="127"/>
      <c r="L71" s="94" t="s">
        <v>70</v>
      </c>
      <c r="M71" s="88"/>
      <c r="N71" s="143">
        <f>N63-N70</f>
        <v>0</v>
      </c>
      <c r="O71" s="73"/>
      <c r="AA71">
        <v>1</v>
      </c>
    </row>
    <row r="72" spans="1:27" ht="18" customHeight="1" outlineLevel="1" thickBot="1" x14ac:dyDescent="0.45">
      <c r="A72" s="634"/>
      <c r="B72" s="637"/>
      <c r="C72" s="128" t="s">
        <v>34</v>
      </c>
      <c r="D72" s="140">
        <f>'COMP.ALFA (2)'!N20</f>
        <v>391.58699999999999</v>
      </c>
      <c r="E72" s="30">
        <v>0</v>
      </c>
      <c r="F72" s="130">
        <f t="shared" ref="F72:F74" si="14">D72/0.66</f>
        <v>593.31363636363631</v>
      </c>
      <c r="G72" s="32">
        <f t="shared" si="9"/>
        <v>0</v>
      </c>
      <c r="H72" s="33">
        <f t="shared" si="10"/>
        <v>0</v>
      </c>
      <c r="I72" s="34" t="e">
        <f t="shared" si="11"/>
        <v>#DIV/0!</v>
      </c>
      <c r="J72" s="127">
        <f>E72*'COMP.ALFA (2)'!H20</f>
        <v>0</v>
      </c>
      <c r="K72" s="127"/>
      <c r="L72" s="98" t="s">
        <v>73</v>
      </c>
      <c r="M72" s="99"/>
      <c r="N72" s="100">
        <f>N71-N60</f>
        <v>0</v>
      </c>
      <c r="O72" s="101" t="e">
        <f>(N72/N61)</f>
        <v>#DIV/0!</v>
      </c>
    </row>
    <row r="73" spans="1:27" ht="21" customHeight="1" outlineLevel="1" thickBot="1" x14ac:dyDescent="0.5">
      <c r="A73" s="634"/>
      <c r="B73" s="637"/>
      <c r="C73" s="128" t="s">
        <v>87</v>
      </c>
      <c r="D73" s="140">
        <f>'COMP.ALFA (2)'!N21</f>
        <v>568.42700000000002</v>
      </c>
      <c r="E73" s="30">
        <v>0</v>
      </c>
      <c r="F73" s="130">
        <f t="shared" si="14"/>
        <v>861.2530303030303</v>
      </c>
      <c r="G73" s="32">
        <f t="shared" si="9"/>
        <v>0</v>
      </c>
      <c r="H73" s="33">
        <f t="shared" si="10"/>
        <v>0</v>
      </c>
      <c r="I73" s="34" t="e">
        <f t="shared" si="11"/>
        <v>#DIV/0!</v>
      </c>
      <c r="J73" s="127">
        <f>E73*'COMP.ALFA (2)'!H21</f>
        <v>0</v>
      </c>
      <c r="K73" s="127"/>
      <c r="L73" s="104" t="s">
        <v>76</v>
      </c>
      <c r="M73" s="105"/>
      <c r="N73" s="106" t="e">
        <f ca="1">ARRAY_CONSTRAIN(ARRAYFORMULA(_xlfn.IFS(N71&gt;=VIABILIDADE!#REF!,"APROVADA",N71&lt;VIABILIDADE!#REF!,"REPROVADA")), 1, 1)</f>
        <v>#NAME?</v>
      </c>
      <c r="O73" s="107"/>
      <c r="P73" s="92"/>
      <c r="Q73" s="92"/>
      <c r="R73" s="92"/>
    </row>
    <row r="74" spans="1:27" ht="14.25" customHeight="1" outlineLevel="1" x14ac:dyDescent="0.3">
      <c r="A74" s="634"/>
      <c r="B74" s="637"/>
      <c r="C74" s="128" t="s">
        <v>40</v>
      </c>
      <c r="D74" s="140">
        <f>'COMP.ALFA (2)'!N22</f>
        <v>252.5445</v>
      </c>
      <c r="E74" s="30">
        <v>0</v>
      </c>
      <c r="F74" s="130">
        <f t="shared" si="14"/>
        <v>382.6431818181818</v>
      </c>
      <c r="G74" s="32">
        <f t="shared" si="9"/>
        <v>0</v>
      </c>
      <c r="H74" s="33">
        <f t="shared" si="10"/>
        <v>0</v>
      </c>
      <c r="I74" s="34" t="e">
        <f t="shared" si="11"/>
        <v>#DIV/0!</v>
      </c>
      <c r="J74" s="127">
        <f>E74*'COMP.ALFA (2)'!H22</f>
        <v>0</v>
      </c>
      <c r="K74" s="127"/>
    </row>
    <row r="75" spans="1:27" ht="14.25" customHeight="1" outlineLevel="1" thickBot="1" x14ac:dyDescent="0.35">
      <c r="A75" s="635"/>
      <c r="B75" s="638"/>
      <c r="C75" s="128" t="s">
        <v>88</v>
      </c>
      <c r="D75" s="141">
        <f>'COMP.ALFA (2)'!N23</f>
        <v>385.00350000000003</v>
      </c>
      <c r="E75" s="41">
        <v>0</v>
      </c>
      <c r="F75" s="130">
        <f>D75/0.68</f>
        <v>566.18161764705883</v>
      </c>
      <c r="G75" s="43">
        <f t="shared" si="9"/>
        <v>0</v>
      </c>
      <c r="H75" s="44">
        <f>E75*F75</f>
        <v>0</v>
      </c>
      <c r="I75" s="45" t="e">
        <f t="shared" si="11"/>
        <v>#DIV/0!</v>
      </c>
      <c r="J75" s="127">
        <f>E75*'COMP.ALFA (2)'!H23</f>
        <v>0</v>
      </c>
      <c r="K75" s="127"/>
    </row>
    <row r="76" spans="1:27" ht="24" customHeight="1" thickBot="1" x14ac:dyDescent="0.4">
      <c r="A76" s="649" t="s">
        <v>78</v>
      </c>
      <c r="B76" s="603"/>
      <c r="C76" s="603"/>
      <c r="D76" s="650"/>
      <c r="E76" s="144">
        <f>SUM(E58:E75)</f>
        <v>0</v>
      </c>
      <c r="F76" s="145"/>
      <c r="G76" s="146">
        <f t="shared" ref="G76:H76" si="15">SUM(G58:G75)</f>
        <v>0</v>
      </c>
      <c r="H76" s="145">
        <f t="shared" si="15"/>
        <v>0</v>
      </c>
      <c r="I76" s="147" t="e">
        <f t="shared" si="11"/>
        <v>#DIV/0!</v>
      </c>
      <c r="J76" s="148">
        <f>SUM(J58:J75)</f>
        <v>0</v>
      </c>
      <c r="K76" s="149"/>
      <c r="L76" s="92"/>
      <c r="M76" s="92"/>
      <c r="N76" s="92"/>
      <c r="O76" s="92"/>
      <c r="S76" s="92"/>
      <c r="T76" s="92"/>
      <c r="U76" s="92"/>
      <c r="V76" s="92"/>
      <c r="W76" s="92"/>
      <c r="X76" s="92"/>
      <c r="Y76" s="92"/>
      <c r="Z76" s="92"/>
      <c r="AA76" s="92"/>
    </row>
    <row r="77" spans="1:27" ht="14.25" customHeight="1" x14ac:dyDescent="0.3">
      <c r="C77" s="1"/>
      <c r="D77" s="118"/>
      <c r="E77" s="119"/>
      <c r="F77" s="120"/>
      <c r="G77" s="121"/>
      <c r="H77" s="122"/>
      <c r="I77" s="123"/>
    </row>
    <row r="78" spans="1:27" ht="14.25" customHeight="1" thickBot="1" x14ac:dyDescent="0.4">
      <c r="A78" s="651"/>
      <c r="B78" s="644"/>
      <c r="C78" s="644"/>
      <c r="D78" s="644"/>
      <c r="E78" s="644"/>
      <c r="F78" s="644"/>
      <c r="G78" s="644"/>
      <c r="H78" s="644"/>
      <c r="I78" s="645"/>
      <c r="L78" s="62" t="s">
        <v>21</v>
      </c>
      <c r="M78" s="63"/>
      <c r="N78" s="64">
        <f>G92</f>
        <v>0</v>
      </c>
      <c r="O78" s="131" t="e">
        <f>N78/N79</f>
        <v>#DIV/0!</v>
      </c>
    </row>
    <row r="79" spans="1:27" ht="18" customHeight="1" outlineLevel="1" thickBot="1" x14ac:dyDescent="0.45">
      <c r="A79" s="652" t="s">
        <v>14</v>
      </c>
      <c r="B79" s="626" t="s">
        <v>28</v>
      </c>
      <c r="C79" s="150">
        <f>'COMP.AUTOFLEX'!B6</f>
        <v>1</v>
      </c>
      <c r="D79" s="151">
        <f>'COMP.AUTOFLEX'!N6</f>
        <v>41.929600000000008</v>
      </c>
      <c r="E79" s="53">
        <v>0</v>
      </c>
      <c r="F79" s="592">
        <v>0</v>
      </c>
      <c r="G79" s="47">
        <f t="shared" ref="G79:G91" si="16">E79*D79</f>
        <v>0</v>
      </c>
      <c r="H79" s="48">
        <f t="shared" ref="H79:H91" si="17">E79*F79</f>
        <v>0</v>
      </c>
      <c r="I79" s="49" t="e">
        <f t="shared" ref="I79:I92" si="18">1-(G79/H79)</f>
        <v>#DIV/0!</v>
      </c>
      <c r="J79" s="152">
        <f>E79*'COMP.AUTOFLEX'!H6</f>
        <v>0</v>
      </c>
      <c r="K79" s="152"/>
      <c r="L79" s="66" t="s">
        <v>50</v>
      </c>
      <c r="M79" s="67"/>
      <c r="N79" s="72">
        <f>H92</f>
        <v>0</v>
      </c>
      <c r="O79" s="73" t="e">
        <f>O78+O80</f>
        <v>#DIV/0!</v>
      </c>
      <c r="Q79" s="642" t="s">
        <v>81</v>
      </c>
      <c r="R79" s="640"/>
    </row>
    <row r="80" spans="1:27" ht="18" customHeight="1" outlineLevel="1" thickBot="1" x14ac:dyDescent="0.45">
      <c r="A80" s="634"/>
      <c r="B80" s="627"/>
      <c r="C80" s="153">
        <f>'COMP.AUTOFLEX'!B7</f>
        <v>1.5</v>
      </c>
      <c r="D80" s="154">
        <f>'COMP.AUTOFLEX'!N7</f>
        <v>58.543500000000009</v>
      </c>
      <c r="E80" s="30">
        <v>0</v>
      </c>
      <c r="F80" s="593">
        <f>D80/0.76</f>
        <v>77.030921052631584</v>
      </c>
      <c r="G80" s="32">
        <f t="shared" si="16"/>
        <v>0</v>
      </c>
      <c r="H80" s="33">
        <f t="shared" si="17"/>
        <v>0</v>
      </c>
      <c r="I80" s="34" t="e">
        <f t="shared" si="18"/>
        <v>#DIV/0!</v>
      </c>
      <c r="J80" s="152">
        <f>E80*'COMP.AUTOFLEX'!H7</f>
        <v>0</v>
      </c>
      <c r="K80" s="152"/>
      <c r="L80" s="66" t="s">
        <v>52</v>
      </c>
      <c r="M80" s="71">
        <v>0</v>
      </c>
      <c r="N80" s="72">
        <f>N79-N78</f>
        <v>0</v>
      </c>
      <c r="O80" s="73" t="e">
        <f>(N80/N79)</f>
        <v>#DIV/0!</v>
      </c>
      <c r="Q80" s="134" t="s">
        <v>82</v>
      </c>
      <c r="R80" s="135" t="e">
        <f t="shared" ref="R80:R82" si="19">#REF!</f>
        <v>#REF!</v>
      </c>
    </row>
    <row r="81" spans="1:27" ht="18" customHeight="1" outlineLevel="1" thickBot="1" x14ac:dyDescent="0.45">
      <c r="A81" s="634"/>
      <c r="B81" s="627"/>
      <c r="C81" s="153">
        <f>'COMP.AUTOFLEX'!B8</f>
        <v>2.5</v>
      </c>
      <c r="D81" s="154">
        <f>'COMP.AUTOFLEX'!N8</f>
        <v>93.365949999999998</v>
      </c>
      <c r="E81" s="30">
        <v>0</v>
      </c>
      <c r="F81" s="593">
        <f t="shared" ref="F81:F88" si="20">D81/0.76</f>
        <v>122.84993421052631</v>
      </c>
      <c r="G81" s="32">
        <f t="shared" si="16"/>
        <v>0</v>
      </c>
      <c r="H81" s="33">
        <f t="shared" si="17"/>
        <v>0</v>
      </c>
      <c r="I81" s="34" t="e">
        <f t="shared" si="18"/>
        <v>#DIV/0!</v>
      </c>
      <c r="J81" s="152">
        <f>E81*'COMP.AUTOFLEX'!H8</f>
        <v>0</v>
      </c>
      <c r="K81" s="152"/>
      <c r="L81" s="66" t="s">
        <v>54</v>
      </c>
      <c r="M81" s="67" t="s">
        <v>27</v>
      </c>
      <c r="N81" s="72">
        <f>N78+N80</f>
        <v>0</v>
      </c>
      <c r="O81" s="73"/>
      <c r="Q81" s="134" t="s">
        <v>89</v>
      </c>
      <c r="R81" s="135" t="e">
        <f t="shared" si="19"/>
        <v>#REF!</v>
      </c>
    </row>
    <row r="82" spans="1:27" ht="14.25" customHeight="1" outlineLevel="1" x14ac:dyDescent="0.3">
      <c r="A82" s="634"/>
      <c r="B82" s="627"/>
      <c r="C82" s="153">
        <f>'COMP.AUTOFLEX'!B9</f>
        <v>4</v>
      </c>
      <c r="D82" s="154">
        <f>'COMP.AUTOFLEX'!N9</f>
        <v>143.68235000000001</v>
      </c>
      <c r="E82" s="30">
        <v>0</v>
      </c>
      <c r="F82" s="593">
        <f t="shared" si="20"/>
        <v>189.05572368421053</v>
      </c>
      <c r="G82" s="32">
        <f t="shared" si="16"/>
        <v>0</v>
      </c>
      <c r="H82" s="33">
        <f t="shared" si="17"/>
        <v>0</v>
      </c>
      <c r="I82" s="34" t="e">
        <f t="shared" si="18"/>
        <v>#DIV/0!</v>
      </c>
      <c r="J82" s="152">
        <f>E82*'COMP.AUTOFLEX'!H9</f>
        <v>0</v>
      </c>
      <c r="K82" s="152"/>
      <c r="L82" s="74" t="s">
        <v>56</v>
      </c>
      <c r="M82" s="75">
        <v>0</v>
      </c>
      <c r="N82" s="76">
        <f>($N$81*M82)</f>
        <v>0</v>
      </c>
      <c r="O82" s="77"/>
      <c r="Q82" s="155" t="s">
        <v>90</v>
      </c>
      <c r="R82" s="156" t="e">
        <f t="shared" si="19"/>
        <v>#REF!</v>
      </c>
    </row>
    <row r="83" spans="1:27" ht="14.25" customHeight="1" outlineLevel="1" x14ac:dyDescent="0.3">
      <c r="A83" s="634"/>
      <c r="B83" s="627"/>
      <c r="C83" s="153">
        <f>'COMP.AUTOFLEX'!B10</f>
        <v>6</v>
      </c>
      <c r="D83" s="154">
        <f>'COMP.AUTOFLEX'!N10</f>
        <v>232.75867500000001</v>
      </c>
      <c r="E83" s="30">
        <v>0</v>
      </c>
      <c r="F83" s="593">
        <f t="shared" si="20"/>
        <v>306.26141447368423</v>
      </c>
      <c r="G83" s="32">
        <f t="shared" si="16"/>
        <v>0</v>
      </c>
      <c r="H83" s="33">
        <f t="shared" si="17"/>
        <v>0</v>
      </c>
      <c r="I83" s="34" t="e">
        <f t="shared" si="18"/>
        <v>#DIV/0!</v>
      </c>
      <c r="J83" s="152">
        <f>E83*'COMP.AUTOFLEX'!H10</f>
        <v>0</v>
      </c>
      <c r="K83" s="152"/>
      <c r="L83" s="79" t="s">
        <v>58</v>
      </c>
      <c r="M83" s="75">
        <v>6.4999999999999997E-3</v>
      </c>
      <c r="N83" s="76">
        <v>0</v>
      </c>
      <c r="O83" s="80"/>
    </row>
    <row r="84" spans="1:27" ht="14.25" customHeight="1" outlineLevel="1" x14ac:dyDescent="0.3">
      <c r="A84" s="634"/>
      <c r="B84" s="627"/>
      <c r="C84" s="153">
        <f>'COMP.AUTOFLEX'!B11</f>
        <v>10</v>
      </c>
      <c r="D84" s="154">
        <f>'COMP.AUTOFLEX'!N11</f>
        <v>363.53100000000006</v>
      </c>
      <c r="E84" s="30">
        <v>0</v>
      </c>
      <c r="F84" s="593">
        <f t="shared" si="20"/>
        <v>478.33026315789482</v>
      </c>
      <c r="G84" s="32">
        <f t="shared" si="16"/>
        <v>0</v>
      </c>
      <c r="H84" s="33">
        <f t="shared" si="17"/>
        <v>0</v>
      </c>
      <c r="I84" s="34" t="e">
        <f t="shared" si="18"/>
        <v>#DIV/0!</v>
      </c>
      <c r="J84" s="152">
        <f>E84*'COMP.AUTOFLEX'!H11</f>
        <v>0</v>
      </c>
      <c r="K84" s="152"/>
      <c r="L84" s="82" t="s">
        <v>60</v>
      </c>
      <c r="M84" s="75">
        <v>0</v>
      </c>
      <c r="N84" s="76">
        <f t="shared" ref="N84:N87" si="21">($N$81*M84)</f>
        <v>0</v>
      </c>
      <c r="O84" s="80"/>
    </row>
    <row r="85" spans="1:27" ht="14.25" customHeight="1" outlineLevel="1" thickBot="1" x14ac:dyDescent="0.35">
      <c r="A85" s="634"/>
      <c r="B85" s="596"/>
      <c r="C85" s="157">
        <f>'COMP.AUTOFLEX'!B12</f>
        <v>16</v>
      </c>
      <c r="D85" s="158">
        <f>'COMP.AUTOFLEX'!N12</f>
        <v>585.52317750000009</v>
      </c>
      <c r="E85" s="41">
        <v>0</v>
      </c>
      <c r="F85" s="594">
        <f t="shared" si="20"/>
        <v>770.42523355263165</v>
      </c>
      <c r="G85" s="43">
        <f t="shared" si="16"/>
        <v>0</v>
      </c>
      <c r="H85" s="44">
        <f t="shared" si="17"/>
        <v>0</v>
      </c>
      <c r="I85" s="45" t="e">
        <f t="shared" si="18"/>
        <v>#DIV/0!</v>
      </c>
      <c r="J85" s="152">
        <f>E85*'COMP.AUTOFLEX'!H12</f>
        <v>0</v>
      </c>
      <c r="K85" s="152"/>
      <c r="L85" s="82" t="s">
        <v>62</v>
      </c>
      <c r="M85" s="75">
        <v>0</v>
      </c>
      <c r="N85" s="76">
        <f t="shared" si="21"/>
        <v>0</v>
      </c>
      <c r="O85" s="80"/>
    </row>
    <row r="86" spans="1:27" ht="14.25" customHeight="1" outlineLevel="1" x14ac:dyDescent="0.3">
      <c r="A86" s="634"/>
      <c r="B86" s="654" t="s">
        <v>91</v>
      </c>
      <c r="C86" s="150" t="str">
        <f>'COMP.AUTOFLEX'!B13</f>
        <v>2x1,5</v>
      </c>
      <c r="D86" s="151">
        <f>'COMP.AUTOFLEX'!N13</f>
        <v>112.19054083200001</v>
      </c>
      <c r="E86" s="53">
        <v>0</v>
      </c>
      <c r="F86" s="592">
        <f>D86/0.76</f>
        <v>147.61913267368422</v>
      </c>
      <c r="G86" s="47">
        <f t="shared" si="16"/>
        <v>0</v>
      </c>
      <c r="H86" s="48">
        <f t="shared" si="17"/>
        <v>0</v>
      </c>
      <c r="I86" s="49" t="e">
        <f t="shared" si="18"/>
        <v>#DIV/0!</v>
      </c>
      <c r="J86" s="152">
        <f>E86*'COMP.AUTOFLEX'!H13</f>
        <v>0</v>
      </c>
      <c r="K86" s="152"/>
      <c r="L86" s="82" t="s">
        <v>64</v>
      </c>
      <c r="M86" s="75">
        <v>0</v>
      </c>
      <c r="N86" s="76">
        <f t="shared" si="21"/>
        <v>0</v>
      </c>
      <c r="O86" s="80"/>
    </row>
    <row r="87" spans="1:27" ht="17.25" customHeight="1" outlineLevel="1" thickBot="1" x14ac:dyDescent="0.35">
      <c r="A87" s="634"/>
      <c r="B87" s="627"/>
      <c r="C87" s="153" t="str">
        <f>'COMP.AUTOFLEX'!B14</f>
        <v>2x2,5</v>
      </c>
      <c r="D87" s="154">
        <f>'COMP.AUTOFLEX'!N14</f>
        <v>180.48663530879998</v>
      </c>
      <c r="E87" s="30">
        <v>0</v>
      </c>
      <c r="F87" s="593">
        <f t="shared" si="20"/>
        <v>237.48241487999996</v>
      </c>
      <c r="G87" s="32">
        <f t="shared" si="16"/>
        <v>0</v>
      </c>
      <c r="H87" s="33">
        <f t="shared" si="17"/>
        <v>0</v>
      </c>
      <c r="I87" s="34" t="e">
        <f t="shared" si="18"/>
        <v>#DIV/0!</v>
      </c>
      <c r="J87" s="152">
        <f>E87*'COMP.AUTOFLEX'!H14</f>
        <v>0</v>
      </c>
      <c r="K87" s="152"/>
      <c r="L87" s="82" t="s">
        <v>66</v>
      </c>
      <c r="M87" s="75">
        <v>0</v>
      </c>
      <c r="N87" s="76">
        <f t="shared" si="21"/>
        <v>0</v>
      </c>
      <c r="O87" s="80"/>
    </row>
    <row r="88" spans="1:27" ht="18" customHeight="1" outlineLevel="1" thickBot="1" x14ac:dyDescent="0.45">
      <c r="A88" s="634"/>
      <c r="B88" s="596"/>
      <c r="C88" s="157" t="str">
        <f>'COMP.AUTOFLEX'!B15</f>
        <v>2X4,0</v>
      </c>
      <c r="D88" s="158">
        <f>'COMP.AUTOFLEX'!N15</f>
        <v>279.63591034240005</v>
      </c>
      <c r="E88" s="41">
        <v>0</v>
      </c>
      <c r="F88" s="594">
        <f t="shared" si="20"/>
        <v>367.94198729263167</v>
      </c>
      <c r="G88" s="43">
        <f t="shared" si="16"/>
        <v>0</v>
      </c>
      <c r="H88" s="44">
        <f t="shared" si="17"/>
        <v>0</v>
      </c>
      <c r="I88" s="45" t="e">
        <f t="shared" si="18"/>
        <v>#DIV/0!</v>
      </c>
      <c r="J88" s="152">
        <f>E88*'COMP.AUTOFLEX'!H15</f>
        <v>0</v>
      </c>
      <c r="K88" s="152"/>
      <c r="L88" s="87" t="s">
        <v>68</v>
      </c>
      <c r="M88" s="88"/>
      <c r="N88" s="159">
        <f>N82+N83+N84+N85+N86+N87</f>
        <v>0</v>
      </c>
      <c r="O88" s="73" t="e">
        <f>N88/N81</f>
        <v>#DIV/0!</v>
      </c>
    </row>
    <row r="89" spans="1:27" ht="18" customHeight="1" outlineLevel="1" thickBot="1" x14ac:dyDescent="0.45">
      <c r="A89" s="634"/>
      <c r="B89" s="655"/>
      <c r="C89" s="153"/>
      <c r="D89" s="160">
        <f>'COMP.AUTOFLEX'!N16</f>
        <v>0</v>
      </c>
      <c r="E89" s="161"/>
      <c r="F89" s="162"/>
      <c r="G89" s="32">
        <f t="shared" si="16"/>
        <v>0</v>
      </c>
      <c r="H89" s="33">
        <f t="shared" si="17"/>
        <v>0</v>
      </c>
      <c r="I89" s="163" t="e">
        <f t="shared" si="18"/>
        <v>#DIV/0!</v>
      </c>
      <c r="J89" s="152"/>
      <c r="K89" s="152"/>
      <c r="L89" s="94" t="s">
        <v>70</v>
      </c>
      <c r="M89" s="88"/>
      <c r="N89" s="95">
        <f>N81-N88</f>
        <v>0</v>
      </c>
      <c r="O89" s="73"/>
      <c r="P89" s="92"/>
      <c r="Q89" s="92"/>
      <c r="R89" s="92"/>
    </row>
    <row r="90" spans="1:27" ht="21" customHeight="1" outlineLevel="1" thickBot="1" x14ac:dyDescent="0.45">
      <c r="A90" s="634"/>
      <c r="B90" s="656"/>
      <c r="C90" s="153"/>
      <c r="D90" s="160">
        <f>'COMP.AUTOFLEX'!N17</f>
        <v>0</v>
      </c>
      <c r="E90" s="161"/>
      <c r="F90" s="162"/>
      <c r="G90" s="32">
        <f t="shared" si="16"/>
        <v>0</v>
      </c>
      <c r="H90" s="33">
        <f t="shared" si="17"/>
        <v>0</v>
      </c>
      <c r="I90" s="163" t="e">
        <f t="shared" si="18"/>
        <v>#DIV/0!</v>
      </c>
      <c r="J90" s="152"/>
      <c r="K90" s="152"/>
      <c r="L90" s="98" t="s">
        <v>73</v>
      </c>
      <c r="M90" s="99"/>
      <c r="N90" s="100">
        <f>N89-N78</f>
        <v>0</v>
      </c>
      <c r="O90" s="101" t="e">
        <f>(N90/N79)</f>
        <v>#DIV/0!</v>
      </c>
    </row>
    <row r="91" spans="1:27" ht="20.25" customHeight="1" outlineLevel="1" thickBot="1" x14ac:dyDescent="0.5">
      <c r="A91" s="653"/>
      <c r="B91" s="598"/>
      <c r="C91" s="164"/>
      <c r="D91" s="165">
        <f>'COMP.AUTOFLEX'!N18</f>
        <v>0</v>
      </c>
      <c r="E91" s="166"/>
      <c r="F91" s="162"/>
      <c r="G91" s="167">
        <f t="shared" si="16"/>
        <v>0</v>
      </c>
      <c r="H91" s="168">
        <f t="shared" si="17"/>
        <v>0</v>
      </c>
      <c r="I91" s="169" t="e">
        <f t="shared" si="18"/>
        <v>#DIV/0!</v>
      </c>
      <c r="J91" s="152"/>
      <c r="K91" s="152"/>
      <c r="L91" s="104" t="s">
        <v>76</v>
      </c>
      <c r="M91" s="105"/>
      <c r="N91" s="106" t="e">
        <f ca="1">ARRAY_CONSTRAIN(ARRAYFORMULA(_xlfn.IFS(N89&gt;=VIABILIDADE!#REF!,"APROVADA",N89&lt;VIABILIDADE!#REF!,"REPROVADA")), 1, 1)</f>
        <v>#NAME?</v>
      </c>
      <c r="O91" s="107"/>
      <c r="P91" s="170"/>
    </row>
    <row r="92" spans="1:27" ht="24" customHeight="1" thickBot="1" x14ac:dyDescent="0.4">
      <c r="A92" s="657"/>
      <c r="B92" s="603"/>
      <c r="C92" s="603"/>
      <c r="D92" s="650"/>
      <c r="E92" s="171">
        <f>SUM(E79:E91)</f>
        <v>0</v>
      </c>
      <c r="F92" s="172"/>
      <c r="G92" s="173">
        <f t="shared" ref="G92:H92" si="22">SUM(G79:G91)</f>
        <v>0</v>
      </c>
      <c r="H92" s="172">
        <f t="shared" si="22"/>
        <v>0</v>
      </c>
      <c r="I92" s="174" t="e">
        <f t="shared" si="18"/>
        <v>#DIV/0!</v>
      </c>
      <c r="J92" s="175">
        <f>SUM(J79:J88)</f>
        <v>0</v>
      </c>
      <c r="K92" s="152"/>
      <c r="L92" s="1">
        <v>5656</v>
      </c>
      <c r="M92" s="1"/>
      <c r="N92" s="170"/>
      <c r="O92" s="176"/>
      <c r="P92" s="170"/>
      <c r="S92" s="92"/>
      <c r="T92" s="92"/>
      <c r="U92" s="92"/>
      <c r="V92" s="92"/>
      <c r="W92" s="92"/>
      <c r="X92" s="92"/>
      <c r="Y92" s="92"/>
      <c r="Z92" s="92"/>
      <c r="AA92" s="92"/>
    </row>
    <row r="93" spans="1:27" ht="14.25" customHeight="1" x14ac:dyDescent="0.45">
      <c r="C93" s="1"/>
      <c r="D93" s="118"/>
      <c r="E93" s="177"/>
      <c r="G93" s="178"/>
      <c r="H93" s="122"/>
      <c r="I93" s="123"/>
      <c r="L93" s="179"/>
      <c r="M93" s="180"/>
      <c r="N93" s="181"/>
      <c r="O93" s="181"/>
      <c r="P93" s="170"/>
    </row>
    <row r="94" spans="1:27" ht="14.25" customHeight="1" thickBot="1" x14ac:dyDescent="0.4">
      <c r="A94" s="643"/>
      <c r="B94" s="644"/>
      <c r="C94" s="644"/>
      <c r="D94" s="644"/>
      <c r="E94" s="644"/>
      <c r="F94" s="644"/>
      <c r="G94" s="644"/>
      <c r="H94" s="644"/>
      <c r="I94" s="645"/>
      <c r="J94" s="182"/>
      <c r="K94" s="183" t="s">
        <v>92</v>
      </c>
      <c r="L94" s="62" t="s">
        <v>21</v>
      </c>
      <c r="Q94" s="646" t="s">
        <v>93</v>
      </c>
      <c r="R94" s="647"/>
      <c r="S94" s="647"/>
      <c r="T94" s="647"/>
      <c r="U94" s="648"/>
    </row>
    <row r="95" spans="1:27" ht="15" customHeight="1" outlineLevel="1" thickBot="1" x14ac:dyDescent="0.35">
      <c r="A95" s="663" t="s">
        <v>94</v>
      </c>
      <c r="B95" s="664" t="s">
        <v>28</v>
      </c>
      <c r="C95" s="1" t="s">
        <v>95</v>
      </c>
      <c r="D95" s="184">
        <f>' COMP.MAXFIO'!L53</f>
        <v>703.64850000000001</v>
      </c>
      <c r="E95" s="185">
        <v>0</v>
      </c>
      <c r="F95" s="186">
        <f>' COMP.MAXFIO'!N53</f>
        <v>902.11346153846148</v>
      </c>
      <c r="G95" s="187">
        <f t="shared" ref="G95:G106" si="23">E95*D95</f>
        <v>0</v>
      </c>
      <c r="H95" s="188">
        <f t="shared" ref="H95:H106" si="24">E95*F95</f>
        <v>0</v>
      </c>
      <c r="I95" s="189" t="e">
        <f t="shared" ref="I95:I107" si="25">1-(G95/H95)</f>
        <v>#DIV/0!</v>
      </c>
      <c r="J95" s="190">
        <f>E95*' COMP.MAXFIO'!H53</f>
        <v>0</v>
      </c>
      <c r="K95" s="127">
        <v>649.20000000000005</v>
      </c>
      <c r="M95" s="63"/>
      <c r="N95" s="64">
        <f>G107</f>
        <v>0</v>
      </c>
      <c r="O95" s="131" t="e">
        <f>N95/N96</f>
        <v>#DIV/0!</v>
      </c>
      <c r="R95" s="170" t="s">
        <v>96</v>
      </c>
    </row>
    <row r="96" spans="1:27" ht="15" customHeight="1" outlineLevel="1" thickBot="1" x14ac:dyDescent="0.45">
      <c r="A96" s="634"/>
      <c r="B96" s="656"/>
      <c r="C96" s="1" t="s">
        <v>97</v>
      </c>
      <c r="D96" s="184">
        <f>' COMP.MAXFIO'!L54</f>
        <v>1070.8799999999999</v>
      </c>
      <c r="E96" s="191">
        <v>0</v>
      </c>
      <c r="F96" s="186">
        <f>' COMP.MAXFIO'!N54</f>
        <v>1372.9230769230767</v>
      </c>
      <c r="G96" s="32">
        <f t="shared" si="23"/>
        <v>0</v>
      </c>
      <c r="H96" s="33">
        <f t="shared" si="24"/>
        <v>0</v>
      </c>
      <c r="I96" s="123" t="e">
        <f t="shared" si="25"/>
        <v>#DIV/0!</v>
      </c>
      <c r="J96" s="192">
        <f>E96*' COMP.MAXFIO'!H54</f>
        <v>0</v>
      </c>
      <c r="K96" s="127">
        <v>969.8</v>
      </c>
      <c r="L96" s="66" t="s">
        <v>50</v>
      </c>
      <c r="M96" s="67"/>
      <c r="N96" s="72">
        <f>H107</f>
        <v>0</v>
      </c>
      <c r="O96" s="73" t="e">
        <f>O95+O97</f>
        <v>#DIV/0!</v>
      </c>
      <c r="Q96" s="134" t="s">
        <v>98</v>
      </c>
      <c r="R96" s="135"/>
    </row>
    <row r="97" spans="1:27" ht="15" customHeight="1" outlineLevel="1" thickBot="1" x14ac:dyDescent="0.45">
      <c r="A97" s="634"/>
      <c r="B97" s="656"/>
      <c r="C97" s="1" t="s">
        <v>99</v>
      </c>
      <c r="D97" s="184">
        <f>' COMP.MAXFIO'!L55</f>
        <v>1600.566</v>
      </c>
      <c r="E97" s="191">
        <v>0</v>
      </c>
      <c r="F97" s="186">
        <f>' COMP.MAXFIO'!N55</f>
        <v>2052.0076923076922</v>
      </c>
      <c r="G97" s="32">
        <f t="shared" si="23"/>
        <v>0</v>
      </c>
      <c r="H97" s="33">
        <f t="shared" si="24"/>
        <v>0</v>
      </c>
      <c r="I97" s="123" t="e">
        <f t="shared" si="25"/>
        <v>#DIV/0!</v>
      </c>
      <c r="J97" s="192">
        <f>E97*' COMP.MAXFIO'!H55</f>
        <v>0</v>
      </c>
      <c r="K97" s="127">
        <v>1460.2</v>
      </c>
      <c r="L97" s="66" t="s">
        <v>52</v>
      </c>
      <c r="M97" s="71">
        <v>0</v>
      </c>
      <c r="N97" s="72">
        <f>N96-N95</f>
        <v>0</v>
      </c>
      <c r="O97" s="73" t="e">
        <f>(N97/N96)</f>
        <v>#DIV/0!</v>
      </c>
      <c r="Q97" s="134" t="s">
        <v>100</v>
      </c>
      <c r="R97" s="135" t="e">
        <f t="shared" ref="R97:R98" si="26">#REF!</f>
        <v>#REF!</v>
      </c>
    </row>
    <row r="98" spans="1:27" ht="18" customHeight="1" outlineLevel="1" thickBot="1" x14ac:dyDescent="0.45">
      <c r="A98" s="634"/>
      <c r="B98" s="656"/>
      <c r="C98" s="1" t="s">
        <v>101</v>
      </c>
      <c r="D98" s="184">
        <f>' COMP.MAXFIO'!L56</f>
        <v>2161.62</v>
      </c>
      <c r="E98" s="191">
        <v>0</v>
      </c>
      <c r="F98" s="186">
        <f>' COMP.MAXFIO'!N56</f>
        <v>2771.3076923076919</v>
      </c>
      <c r="G98" s="32">
        <f t="shared" si="23"/>
        <v>0</v>
      </c>
      <c r="H98" s="33">
        <f t="shared" si="24"/>
        <v>0</v>
      </c>
      <c r="I98" s="123" t="e">
        <f t="shared" si="25"/>
        <v>#DIV/0!</v>
      </c>
      <c r="J98" s="192">
        <f>E98*' COMP.MAXFIO'!H56</f>
        <v>0</v>
      </c>
      <c r="K98" s="127">
        <v>2022.6</v>
      </c>
      <c r="L98" s="66" t="s">
        <v>54</v>
      </c>
      <c r="M98" s="67" t="s">
        <v>27</v>
      </c>
      <c r="N98" s="72">
        <f>N95+N97</f>
        <v>0</v>
      </c>
      <c r="O98" s="73"/>
      <c r="Q98" s="193" t="s">
        <v>90</v>
      </c>
      <c r="R98" s="194" t="e">
        <f t="shared" si="26"/>
        <v>#REF!</v>
      </c>
    </row>
    <row r="99" spans="1:27" ht="14.25" customHeight="1" outlineLevel="1" x14ac:dyDescent="0.3">
      <c r="A99" s="634"/>
      <c r="B99" s="656"/>
      <c r="C99" s="1" t="s">
        <v>102</v>
      </c>
      <c r="D99" s="184">
        <f>' COMP.MAXFIO'!L57</f>
        <v>2988.1499999999996</v>
      </c>
      <c r="E99" s="191">
        <v>0</v>
      </c>
      <c r="F99" s="186">
        <f>' COMP.MAXFIO'!N57</f>
        <v>3830.9615384615377</v>
      </c>
      <c r="G99" s="32">
        <f t="shared" si="23"/>
        <v>0</v>
      </c>
      <c r="H99" s="33">
        <f t="shared" si="24"/>
        <v>0</v>
      </c>
      <c r="I99" s="123" t="e">
        <f t="shared" si="25"/>
        <v>#DIV/0!</v>
      </c>
      <c r="J99" s="192">
        <f>E99*' COMP.MAXFIO'!H57</f>
        <v>0</v>
      </c>
      <c r="K99" s="127">
        <v>2989.08</v>
      </c>
      <c r="L99" s="74" t="s">
        <v>56</v>
      </c>
      <c r="M99" s="75">
        <v>0</v>
      </c>
      <c r="N99" s="76">
        <f t="shared" ref="N99:N104" si="27">($N$98*M99)</f>
        <v>0</v>
      </c>
      <c r="O99" s="77"/>
    </row>
    <row r="100" spans="1:27" ht="14.25" customHeight="1" outlineLevel="1" x14ac:dyDescent="0.3">
      <c r="A100" s="634"/>
      <c r="B100" s="656"/>
      <c r="C100" s="1" t="s">
        <v>103</v>
      </c>
      <c r="D100" s="184">
        <f>' COMP.MAXFIO'!L58</f>
        <v>4253.3999999999996</v>
      </c>
      <c r="E100" s="191">
        <v>0</v>
      </c>
      <c r="F100" s="186">
        <f>' COMP.MAXFIO'!N58</f>
        <v>5453.0769230769229</v>
      </c>
      <c r="G100" s="32">
        <f t="shared" si="23"/>
        <v>0</v>
      </c>
      <c r="H100" s="33">
        <f t="shared" si="24"/>
        <v>0</v>
      </c>
      <c r="I100" s="123" t="e">
        <f t="shared" si="25"/>
        <v>#DIV/0!</v>
      </c>
      <c r="J100" s="192">
        <f>E100*' COMP.MAXFIO'!H58</f>
        <v>0</v>
      </c>
      <c r="K100" s="127"/>
      <c r="L100" s="79" t="s">
        <v>58</v>
      </c>
      <c r="M100" s="75">
        <v>6.4999999999999997E-3</v>
      </c>
      <c r="N100" s="76">
        <f t="shared" si="27"/>
        <v>0</v>
      </c>
      <c r="O100" s="80"/>
    </row>
    <row r="101" spans="1:27" ht="14.25" customHeight="1" outlineLevel="1" x14ac:dyDescent="0.3">
      <c r="A101" s="634"/>
      <c r="B101" s="656"/>
      <c r="C101" s="1" t="s">
        <v>104</v>
      </c>
      <c r="D101" s="184">
        <f>' COMP.MAXFIO'!L59</f>
        <v>5947.4000000000005</v>
      </c>
      <c r="E101" s="191">
        <v>0</v>
      </c>
      <c r="F101" s="186">
        <f>' COMP.MAXFIO'!N59</f>
        <v>7624.8717948717949</v>
      </c>
      <c r="G101" s="32">
        <f t="shared" si="23"/>
        <v>0</v>
      </c>
      <c r="H101" s="33">
        <f t="shared" si="24"/>
        <v>0</v>
      </c>
      <c r="I101" s="123" t="e">
        <f t="shared" si="25"/>
        <v>#DIV/0!</v>
      </c>
      <c r="J101" s="192">
        <f>E101*' COMP.MAXFIO'!H59</f>
        <v>0</v>
      </c>
      <c r="K101" s="127"/>
      <c r="L101" s="82" t="s">
        <v>60</v>
      </c>
      <c r="M101" s="75">
        <v>0</v>
      </c>
      <c r="N101" s="76">
        <f t="shared" si="27"/>
        <v>0</v>
      </c>
      <c r="O101" s="80"/>
    </row>
    <row r="102" spans="1:27" ht="14.25" customHeight="1" outlineLevel="1" x14ac:dyDescent="0.3">
      <c r="A102" s="634"/>
      <c r="B102" s="656"/>
      <c r="C102" s="1" t="s">
        <v>105</v>
      </c>
      <c r="D102" s="184">
        <f>' COMP.MAXFIO'!L60</f>
        <v>7548.45</v>
      </c>
      <c r="E102" s="191">
        <v>0</v>
      </c>
      <c r="F102" s="186">
        <f>' COMP.MAXFIO'!N60</f>
        <v>9677.5</v>
      </c>
      <c r="G102" s="32">
        <f t="shared" si="23"/>
        <v>0</v>
      </c>
      <c r="H102" s="33">
        <f t="shared" si="24"/>
        <v>0</v>
      </c>
      <c r="I102" s="123" t="e">
        <f t="shared" si="25"/>
        <v>#DIV/0!</v>
      </c>
      <c r="J102" s="192">
        <f>E102*' COMP.MAXFIO'!H60</f>
        <v>0</v>
      </c>
      <c r="K102" s="127"/>
      <c r="L102" s="82" t="s">
        <v>62</v>
      </c>
      <c r="M102" s="75">
        <v>0</v>
      </c>
      <c r="N102" s="76">
        <f t="shared" si="27"/>
        <v>0</v>
      </c>
      <c r="O102" s="80"/>
    </row>
    <row r="103" spans="1:27" ht="14.25" customHeight="1" outlineLevel="1" x14ac:dyDescent="0.3">
      <c r="A103" s="634"/>
      <c r="B103" s="656"/>
      <c r="C103" s="1" t="s">
        <v>106</v>
      </c>
      <c r="D103" s="184">
        <f>' COMP.MAXFIO'!L61</f>
        <v>9670.35</v>
      </c>
      <c r="E103" s="191">
        <v>0</v>
      </c>
      <c r="F103" s="186">
        <f>' COMP.MAXFIO'!N61</f>
        <v>12397.884615384615</v>
      </c>
      <c r="G103" s="32">
        <f t="shared" si="23"/>
        <v>0</v>
      </c>
      <c r="H103" s="33">
        <f t="shared" si="24"/>
        <v>0</v>
      </c>
      <c r="I103" s="123" t="e">
        <f t="shared" si="25"/>
        <v>#DIV/0!</v>
      </c>
      <c r="J103" s="192">
        <f>E103*' COMP.MAXFIO'!H61</f>
        <v>0</v>
      </c>
      <c r="K103" s="127"/>
      <c r="L103" s="82" t="s">
        <v>64</v>
      </c>
      <c r="M103" s="75">
        <v>0</v>
      </c>
      <c r="N103" s="76">
        <f t="shared" si="27"/>
        <v>0</v>
      </c>
      <c r="O103" s="80"/>
    </row>
    <row r="104" spans="1:27" ht="14.25" customHeight="1" outlineLevel="1" thickBot="1" x14ac:dyDescent="0.35">
      <c r="A104" s="634"/>
      <c r="B104" s="656"/>
      <c r="C104" s="1" t="s">
        <v>107</v>
      </c>
      <c r="D104" s="184">
        <f>' COMP.MAXFIO'!L62</f>
        <v>11576.3</v>
      </c>
      <c r="E104" s="191">
        <v>0</v>
      </c>
      <c r="F104" s="186">
        <f>' COMP.MAXFIO'!N62</f>
        <v>14841.410256410254</v>
      </c>
      <c r="G104" s="32">
        <f t="shared" si="23"/>
        <v>0</v>
      </c>
      <c r="H104" s="33">
        <f t="shared" si="24"/>
        <v>0</v>
      </c>
      <c r="I104" s="123" t="e">
        <f t="shared" si="25"/>
        <v>#DIV/0!</v>
      </c>
      <c r="J104" s="192">
        <f>E104*' COMP.MAXFIO'!H62</f>
        <v>0</v>
      </c>
      <c r="K104" s="127"/>
      <c r="L104" s="82" t="s">
        <v>66</v>
      </c>
      <c r="M104" s="75">
        <v>0</v>
      </c>
      <c r="N104" s="76">
        <f t="shared" si="27"/>
        <v>0</v>
      </c>
      <c r="O104" s="80"/>
    </row>
    <row r="105" spans="1:27" ht="14.25" customHeight="1" outlineLevel="1" thickBot="1" x14ac:dyDescent="0.45">
      <c r="A105" s="634"/>
      <c r="B105" s="656"/>
      <c r="C105" s="1" t="s">
        <v>108</v>
      </c>
      <c r="D105" s="184">
        <f>' COMP.MAXFIO'!L63</f>
        <v>14691.15</v>
      </c>
      <c r="E105" s="191">
        <v>0</v>
      </c>
      <c r="F105" s="186">
        <f>' COMP.MAXFIO'!N63</f>
        <v>18834.807692307691</v>
      </c>
      <c r="G105" s="32">
        <f t="shared" si="23"/>
        <v>0</v>
      </c>
      <c r="H105" s="33">
        <f t="shared" si="24"/>
        <v>0</v>
      </c>
      <c r="I105" s="123" t="e">
        <f t="shared" si="25"/>
        <v>#DIV/0!</v>
      </c>
      <c r="J105" s="192">
        <f>E105*' COMP.MAXFIO'!H63</f>
        <v>0</v>
      </c>
      <c r="K105" s="127"/>
      <c r="L105" s="87" t="s">
        <v>68</v>
      </c>
      <c r="M105" s="88"/>
      <c r="N105" s="159">
        <f>N99+N100+N101+N102+N103+N104</f>
        <v>0</v>
      </c>
      <c r="O105" s="73" t="e">
        <f>N105/N98</f>
        <v>#DIV/0!</v>
      </c>
    </row>
    <row r="106" spans="1:27" ht="14.25" customHeight="1" outlineLevel="1" thickBot="1" x14ac:dyDescent="0.45">
      <c r="A106" s="635"/>
      <c r="B106" s="598"/>
      <c r="C106" s="164" t="s">
        <v>109</v>
      </c>
      <c r="D106" s="184">
        <f>' COMP.MAXFIO'!L64</f>
        <v>19873.726180000001</v>
      </c>
      <c r="E106" s="195">
        <v>0</v>
      </c>
      <c r="F106" s="186">
        <f>' COMP.MAXFIO'!N64</f>
        <v>25479.136128205129</v>
      </c>
      <c r="G106" s="32">
        <f t="shared" si="23"/>
        <v>0</v>
      </c>
      <c r="H106" s="33">
        <f t="shared" si="24"/>
        <v>0</v>
      </c>
      <c r="I106" s="123" t="e">
        <f t="shared" si="25"/>
        <v>#DIV/0!</v>
      </c>
      <c r="J106" s="196">
        <f>E106*' COMP.MAXFIO'!H64</f>
        <v>0</v>
      </c>
      <c r="K106" s="127"/>
      <c r="L106" s="94" t="s">
        <v>70</v>
      </c>
      <c r="M106" s="88"/>
      <c r="N106" s="95">
        <f>N98-N105</f>
        <v>0</v>
      </c>
      <c r="O106" s="73"/>
      <c r="P106" s="96" t="s">
        <v>71</v>
      </c>
    </row>
    <row r="107" spans="1:27" ht="18" customHeight="1" thickBot="1" x14ac:dyDescent="0.45">
      <c r="A107" s="665" t="s">
        <v>78</v>
      </c>
      <c r="B107" s="603"/>
      <c r="C107" s="603"/>
      <c r="D107" s="650"/>
      <c r="E107" s="197">
        <f>+E95+E96+E97+E98+E99+E100+E101+E102+E103+E104+E105+E106</f>
        <v>0</v>
      </c>
      <c r="F107" s="198"/>
      <c r="G107" s="199">
        <f t="shared" ref="G107:H107" si="28">SUM(G95:G106)</f>
        <v>0</v>
      </c>
      <c r="H107" s="198">
        <f t="shared" si="28"/>
        <v>0</v>
      </c>
      <c r="I107" s="200" t="e">
        <f t="shared" si="25"/>
        <v>#DIV/0!</v>
      </c>
      <c r="J107" s="148">
        <f>SUM(J95:J106)</f>
        <v>0</v>
      </c>
      <c r="K107" s="149"/>
      <c r="L107" s="201" t="s">
        <v>73</v>
      </c>
      <c r="M107" s="99"/>
      <c r="N107" s="100">
        <f>N106-N95</f>
        <v>0</v>
      </c>
      <c r="O107" s="101" t="e">
        <f>(N107/N96)</f>
        <v>#DIV/0!</v>
      </c>
      <c r="P107" s="102" t="s">
        <v>110</v>
      </c>
      <c r="S107" s="92"/>
      <c r="T107" s="92"/>
      <c r="U107" s="92"/>
      <c r="V107" s="92"/>
      <c r="W107" s="92"/>
      <c r="X107" s="92"/>
      <c r="Y107" s="92"/>
      <c r="Z107" s="92"/>
      <c r="AA107" s="92"/>
    </row>
    <row r="108" spans="1:27" ht="18" customHeight="1" thickBot="1" x14ac:dyDescent="0.45">
      <c r="A108" s="202"/>
      <c r="B108" s="170"/>
      <c r="C108" s="170"/>
      <c r="D108" s="170"/>
      <c r="E108" s="203"/>
      <c r="F108" s="204"/>
      <c r="G108" s="205"/>
      <c r="H108" s="204"/>
      <c r="I108" s="206"/>
      <c r="J108" s="149"/>
      <c r="K108" s="149"/>
      <c r="L108" s="201"/>
      <c r="M108" s="99"/>
      <c r="N108" s="100"/>
      <c r="O108" s="101"/>
      <c r="S108" s="92"/>
      <c r="T108" s="92"/>
      <c r="U108" s="92"/>
      <c r="V108" s="92"/>
      <c r="W108" s="92"/>
      <c r="X108" s="92"/>
      <c r="Y108" s="92"/>
      <c r="Z108" s="92"/>
      <c r="AA108" s="92"/>
    </row>
    <row r="109" spans="1:27" ht="24" hidden="1" customHeight="1" thickBot="1" x14ac:dyDescent="0.5">
      <c r="A109" s="207"/>
      <c r="B109" s="207"/>
      <c r="C109" s="208"/>
      <c r="D109" s="209"/>
      <c r="E109" s="210"/>
      <c r="F109" s="207"/>
      <c r="G109" s="209"/>
      <c r="H109" s="209"/>
      <c r="I109" s="211"/>
      <c r="J109" s="207"/>
      <c r="K109" s="207"/>
      <c r="L109" s="104" t="s">
        <v>76</v>
      </c>
      <c r="M109" s="105"/>
      <c r="N109" s="106" t="e">
        <f ca="1">ARRAY_CONSTRAIN(ARRAYFORMULA(_xlfn.IFS(N106&gt;=VIABILIDADE!#REF!,"APROVADA",N106&lt;VIABILIDADE!#REF!,"REPROVADA")), 1, 1)</f>
        <v>#NAME?</v>
      </c>
      <c r="O109" s="107"/>
    </row>
    <row r="110" spans="1:27" ht="17.25" hidden="1" customHeight="1" thickBot="1" x14ac:dyDescent="0.5">
      <c r="A110" s="666" t="s">
        <v>111</v>
      </c>
      <c r="B110" s="608"/>
      <c r="C110" s="212" t="s">
        <v>97</v>
      </c>
      <c r="D110" s="213">
        <f>' COMP.MAXFIO'!L66</f>
        <v>1073.0250000000001</v>
      </c>
      <c r="E110" s="214">
        <v>0</v>
      </c>
      <c r="F110" s="215">
        <f>D110/0.78</f>
        <v>1375.6730769230769</v>
      </c>
      <c r="G110" s="47">
        <f t="shared" ref="G110:G121" si="29">E110*D110</f>
        <v>0</v>
      </c>
      <c r="H110" s="48">
        <f t="shared" ref="H110:H121" si="30">E110*F110</f>
        <v>0</v>
      </c>
      <c r="I110" s="216" t="e">
        <f t="shared" ref="I110:I122" si="31">1-(G110/H110)</f>
        <v>#DIV/0!</v>
      </c>
      <c r="J110" s="217">
        <f>' COMP.MAXFIO'!H66</f>
        <v>18.399999999999999</v>
      </c>
      <c r="K110" s="218"/>
      <c r="L110" s="180"/>
      <c r="M110" s="180"/>
      <c r="N110" s="181"/>
      <c r="O110" s="181"/>
    </row>
    <row r="111" spans="1:27" ht="17.25" hidden="1" customHeight="1" thickBot="1" x14ac:dyDescent="0.5">
      <c r="A111" s="609"/>
      <c r="B111" s="611"/>
      <c r="C111" s="219" t="s">
        <v>99</v>
      </c>
      <c r="D111" s="220">
        <f>' COMP.MAXFIO'!L67</f>
        <v>1575.7650000000001</v>
      </c>
      <c r="E111" s="221">
        <v>0</v>
      </c>
      <c r="F111" s="215">
        <f t="shared" ref="F111:F115" si="32">D111/0.78</f>
        <v>2020.2115384615386</v>
      </c>
      <c r="G111" s="32">
        <f t="shared" si="29"/>
        <v>0</v>
      </c>
      <c r="H111" s="33">
        <f t="shared" si="30"/>
        <v>0</v>
      </c>
      <c r="I111" s="163" t="e">
        <f t="shared" si="31"/>
        <v>#DIV/0!</v>
      </c>
      <c r="J111" s="222">
        <f>' COMP.MAXFIO'!H67</f>
        <v>26.8</v>
      </c>
      <c r="K111" s="218"/>
      <c r="L111" s="180"/>
      <c r="M111" s="180"/>
      <c r="N111" s="181"/>
      <c r="O111" s="181"/>
    </row>
    <row r="112" spans="1:27" ht="16.5" hidden="1" customHeight="1" thickBot="1" x14ac:dyDescent="0.5">
      <c r="A112" s="609"/>
      <c r="B112" s="611"/>
      <c r="C112" s="219" t="s">
        <v>101</v>
      </c>
      <c r="D112" s="220">
        <f>' COMP.MAXFIO'!L68</f>
        <v>2241.6390000000001</v>
      </c>
      <c r="E112" s="221">
        <v>0</v>
      </c>
      <c r="F112" s="215">
        <f t="shared" si="32"/>
        <v>2873.896153846154</v>
      </c>
      <c r="G112" s="32">
        <f t="shared" si="29"/>
        <v>0</v>
      </c>
      <c r="H112" s="33">
        <f t="shared" si="30"/>
        <v>0</v>
      </c>
      <c r="I112" s="163" t="e">
        <f t="shared" si="31"/>
        <v>#DIV/0!</v>
      </c>
      <c r="J112" s="222">
        <f>' COMP.MAXFIO'!H68</f>
        <v>37.18</v>
      </c>
      <c r="K112" s="223"/>
      <c r="L112" s="224"/>
      <c r="M112" s="225" t="s">
        <v>112</v>
      </c>
      <c r="N112" s="226"/>
      <c r="O112" s="227"/>
    </row>
    <row r="113" spans="1:15" ht="17.25" hidden="1" customHeight="1" thickBot="1" x14ac:dyDescent="0.5">
      <c r="A113" s="609"/>
      <c r="B113" s="611"/>
      <c r="C113" s="219" t="s">
        <v>102</v>
      </c>
      <c r="D113" s="220">
        <f>' COMP.MAXFIO'!L69</f>
        <v>3137.85</v>
      </c>
      <c r="E113" s="221">
        <v>0</v>
      </c>
      <c r="F113" s="215">
        <f t="shared" si="32"/>
        <v>4022.8846153846152</v>
      </c>
      <c r="G113" s="32">
        <f t="shared" si="29"/>
        <v>0</v>
      </c>
      <c r="H113" s="33">
        <f t="shared" si="30"/>
        <v>0</v>
      </c>
      <c r="I113" s="163" t="e">
        <f t="shared" si="31"/>
        <v>#DIV/0!</v>
      </c>
      <c r="J113" s="222">
        <f>' COMP.MAXFIO'!H69</f>
        <v>52</v>
      </c>
      <c r="K113" s="228"/>
      <c r="L113" s="180"/>
      <c r="M113" s="229">
        <v>71.5</v>
      </c>
      <c r="N113" s="181"/>
      <c r="O113" s="230"/>
    </row>
    <row r="114" spans="1:15" ht="17.25" hidden="1" customHeight="1" thickBot="1" x14ac:dyDescent="0.5">
      <c r="A114" s="609"/>
      <c r="B114" s="611"/>
      <c r="C114" s="219" t="s">
        <v>103</v>
      </c>
      <c r="D114" s="220">
        <f>' COMP.MAXFIO'!L70</f>
        <v>4370.76</v>
      </c>
      <c r="E114" s="30">
        <v>0</v>
      </c>
      <c r="F114" s="215">
        <f t="shared" si="32"/>
        <v>5603.5384615384619</v>
      </c>
      <c r="G114" s="32">
        <f t="shared" si="29"/>
        <v>0</v>
      </c>
      <c r="H114" s="33">
        <f t="shared" si="30"/>
        <v>0</v>
      </c>
      <c r="I114" s="123" t="e">
        <f t="shared" si="31"/>
        <v>#DIV/0!</v>
      </c>
      <c r="J114" s="231">
        <f>' COMP.MAXFIO'!H70</f>
        <v>70.2</v>
      </c>
      <c r="K114" s="228"/>
      <c r="L114" s="180"/>
      <c r="M114" s="180"/>
      <c r="N114" s="181"/>
      <c r="O114" s="230"/>
    </row>
    <row r="115" spans="1:15" ht="17.25" hidden="1" customHeight="1" thickBot="1" x14ac:dyDescent="0.5">
      <c r="A115" s="612"/>
      <c r="B115" s="614"/>
      <c r="C115" s="232" t="s">
        <v>104</v>
      </c>
      <c r="D115" s="233">
        <f>' COMP.MAXFIO'!L70</f>
        <v>4370.76</v>
      </c>
      <c r="E115" s="191">
        <v>0</v>
      </c>
      <c r="F115" s="215">
        <f t="shared" si="32"/>
        <v>5603.5384615384619</v>
      </c>
      <c r="G115" s="234">
        <f t="shared" si="29"/>
        <v>0</v>
      </c>
      <c r="H115" s="33">
        <f t="shared" si="30"/>
        <v>0</v>
      </c>
      <c r="I115" s="123" t="e">
        <f t="shared" si="31"/>
        <v>#DIV/0!</v>
      </c>
      <c r="J115" s="231">
        <f>' COMP.MAXFIO'!H70</f>
        <v>70.2</v>
      </c>
      <c r="K115" s="228"/>
      <c r="L115" s="180"/>
      <c r="M115" s="180" t="s">
        <v>113</v>
      </c>
      <c r="N115" s="181"/>
      <c r="O115" s="230"/>
    </row>
    <row r="116" spans="1:15" ht="17.25" hidden="1" customHeight="1" thickBot="1" x14ac:dyDescent="0.5">
      <c r="A116" s="667" t="s">
        <v>114</v>
      </c>
      <c r="B116" s="608"/>
      <c r="C116" s="212" t="s">
        <v>115</v>
      </c>
      <c r="D116" s="213">
        <f t="shared" ref="D116:D121" si="33">N116</f>
        <v>7.5789999999999997</v>
      </c>
      <c r="E116" s="53">
        <v>0</v>
      </c>
      <c r="F116" s="215">
        <f>D116/0.8</f>
        <v>9.473749999999999</v>
      </c>
      <c r="G116" s="235">
        <f t="shared" si="29"/>
        <v>0</v>
      </c>
      <c r="H116" s="48">
        <f t="shared" si="30"/>
        <v>0</v>
      </c>
      <c r="I116" s="236" t="e">
        <f t="shared" si="31"/>
        <v>#DIV/0!</v>
      </c>
      <c r="J116" s="237">
        <f t="shared" ref="J116:J121" si="34">M116*E116</f>
        <v>0</v>
      </c>
      <c r="K116" s="238" t="s">
        <v>116</v>
      </c>
      <c r="L116" s="239" t="s">
        <v>117</v>
      </c>
      <c r="M116" s="239">
        <v>0.106</v>
      </c>
      <c r="N116" s="240">
        <f t="shared" ref="N116:N121" si="35">(M116*$M$113)</f>
        <v>7.5789999999999997</v>
      </c>
      <c r="O116" s="241"/>
    </row>
    <row r="117" spans="1:15" ht="17.25" hidden="1" customHeight="1" thickBot="1" x14ac:dyDescent="0.5">
      <c r="A117" s="609"/>
      <c r="B117" s="611"/>
      <c r="C117" s="219" t="s">
        <v>118</v>
      </c>
      <c r="D117" s="213">
        <f t="shared" si="33"/>
        <v>12.012</v>
      </c>
      <c r="E117" s="30">
        <v>0</v>
      </c>
      <c r="F117" s="215">
        <f t="shared" ref="F117:F121" si="36">D117/0.8</f>
        <v>15.015000000000001</v>
      </c>
      <c r="G117" s="234">
        <f t="shared" si="29"/>
        <v>0</v>
      </c>
      <c r="H117" s="33">
        <f t="shared" si="30"/>
        <v>0</v>
      </c>
      <c r="I117" s="123" t="e">
        <f t="shared" si="31"/>
        <v>#DIV/0!</v>
      </c>
      <c r="J117" s="237">
        <f t="shared" si="34"/>
        <v>0</v>
      </c>
      <c r="K117" s="242" t="s">
        <v>119</v>
      </c>
      <c r="L117" s="243" t="s">
        <v>120</v>
      </c>
      <c r="M117" s="243">
        <v>0.16800000000000001</v>
      </c>
      <c r="N117" s="244">
        <f t="shared" si="35"/>
        <v>12.012</v>
      </c>
      <c r="O117" s="245"/>
    </row>
    <row r="118" spans="1:15" ht="17.25" hidden="1" customHeight="1" thickBot="1" x14ac:dyDescent="0.5">
      <c r="A118" s="609"/>
      <c r="B118" s="611"/>
      <c r="C118" s="219" t="s">
        <v>121</v>
      </c>
      <c r="D118" s="213">
        <f t="shared" si="33"/>
        <v>17.374500000000001</v>
      </c>
      <c r="E118" s="30">
        <v>0</v>
      </c>
      <c r="F118" s="215">
        <f t="shared" si="36"/>
        <v>21.718125000000001</v>
      </c>
      <c r="G118" s="234">
        <f t="shared" si="29"/>
        <v>0</v>
      </c>
      <c r="H118" s="33">
        <f t="shared" si="30"/>
        <v>0</v>
      </c>
      <c r="I118" s="123" t="e">
        <f t="shared" si="31"/>
        <v>#DIV/0!</v>
      </c>
      <c r="J118" s="237">
        <f t="shared" si="34"/>
        <v>0</v>
      </c>
      <c r="K118" s="242" t="s">
        <v>122</v>
      </c>
      <c r="L118" s="243" t="s">
        <v>123</v>
      </c>
      <c r="M118" s="243">
        <v>0.24299999999999999</v>
      </c>
      <c r="N118" s="244">
        <f t="shared" si="35"/>
        <v>17.374500000000001</v>
      </c>
      <c r="O118" s="245"/>
    </row>
    <row r="119" spans="1:15" ht="17.25" hidden="1" customHeight="1" thickBot="1" x14ac:dyDescent="0.5">
      <c r="A119" s="609"/>
      <c r="B119" s="611"/>
      <c r="C119" s="219" t="s">
        <v>124</v>
      </c>
      <c r="D119" s="213">
        <f t="shared" si="33"/>
        <v>25.453999999999997</v>
      </c>
      <c r="E119" s="30">
        <v>0</v>
      </c>
      <c r="F119" s="215">
        <f t="shared" si="36"/>
        <v>31.817499999999995</v>
      </c>
      <c r="G119" s="234">
        <f t="shared" si="29"/>
        <v>0</v>
      </c>
      <c r="H119" s="33">
        <f t="shared" si="30"/>
        <v>0</v>
      </c>
      <c r="I119" s="123" t="e">
        <f t="shared" si="31"/>
        <v>#DIV/0!</v>
      </c>
      <c r="J119" s="237">
        <f t="shared" si="34"/>
        <v>0</v>
      </c>
      <c r="K119" s="242" t="s">
        <v>125</v>
      </c>
      <c r="L119" s="243" t="s">
        <v>126</v>
      </c>
      <c r="M119" s="243">
        <v>0.35599999999999998</v>
      </c>
      <c r="N119" s="244">
        <f t="shared" si="35"/>
        <v>25.453999999999997</v>
      </c>
      <c r="O119" s="245"/>
    </row>
    <row r="120" spans="1:15" ht="17.25" hidden="1" customHeight="1" thickBot="1" x14ac:dyDescent="0.5">
      <c r="A120" s="609"/>
      <c r="B120" s="611"/>
      <c r="C120" s="219" t="s">
        <v>127</v>
      </c>
      <c r="D120" s="213">
        <f t="shared" si="33"/>
        <v>32.317999999999998</v>
      </c>
      <c r="E120" s="30">
        <v>0</v>
      </c>
      <c r="F120" s="215">
        <f t="shared" si="36"/>
        <v>40.397499999999994</v>
      </c>
      <c r="G120" s="234">
        <f t="shared" si="29"/>
        <v>0</v>
      </c>
      <c r="H120" s="33">
        <f t="shared" si="30"/>
        <v>0</v>
      </c>
      <c r="I120" s="123" t="e">
        <f t="shared" si="31"/>
        <v>#DIV/0!</v>
      </c>
      <c r="J120" s="237">
        <f t="shared" si="34"/>
        <v>0</v>
      </c>
      <c r="K120" s="242" t="s">
        <v>128</v>
      </c>
      <c r="L120" s="243" t="s">
        <v>129</v>
      </c>
      <c r="M120" s="243">
        <v>0.45200000000000001</v>
      </c>
      <c r="N120" s="244">
        <f t="shared" si="35"/>
        <v>32.317999999999998</v>
      </c>
      <c r="O120" s="245"/>
    </row>
    <row r="121" spans="1:15" ht="17.25" hidden="1" customHeight="1" thickBot="1" x14ac:dyDescent="0.5">
      <c r="A121" s="612"/>
      <c r="B121" s="614"/>
      <c r="C121" s="232" t="s">
        <v>130</v>
      </c>
      <c r="D121" s="213">
        <f t="shared" si="33"/>
        <v>41.541499999999999</v>
      </c>
      <c r="E121" s="41">
        <v>0</v>
      </c>
      <c r="F121" s="215">
        <f t="shared" si="36"/>
        <v>51.926874999999995</v>
      </c>
      <c r="G121" s="246">
        <f t="shared" si="29"/>
        <v>0</v>
      </c>
      <c r="H121" s="44">
        <f t="shared" si="30"/>
        <v>0</v>
      </c>
      <c r="I121" s="247" t="e">
        <f t="shared" si="31"/>
        <v>#DIV/0!</v>
      </c>
      <c r="J121" s="237">
        <f t="shared" si="34"/>
        <v>0</v>
      </c>
      <c r="K121" s="248" t="s">
        <v>131</v>
      </c>
      <c r="L121" s="249" t="s">
        <v>132</v>
      </c>
      <c r="M121" s="249">
        <v>0.58099999999999996</v>
      </c>
      <c r="N121" s="250">
        <f t="shared" si="35"/>
        <v>41.541499999999999</v>
      </c>
      <c r="O121" s="251"/>
    </row>
    <row r="122" spans="1:15" ht="15" hidden="1" customHeight="1" thickBot="1" x14ac:dyDescent="0.35">
      <c r="A122" s="252"/>
      <c r="B122" s="252"/>
      <c r="C122" s="252"/>
      <c r="D122" s="252"/>
      <c r="E122" s="253">
        <f>E110+E111+E112+E113+E114+E116</f>
        <v>0</v>
      </c>
      <c r="F122" s="252"/>
      <c r="G122" s="254">
        <f t="shared" ref="G122:H122" si="37">G110+G111+G112+G113+G114+G116</f>
        <v>0</v>
      </c>
      <c r="H122" s="255">
        <f t="shared" si="37"/>
        <v>0</v>
      </c>
      <c r="I122" s="256" t="e">
        <f t="shared" si="31"/>
        <v>#DIV/0!</v>
      </c>
      <c r="J122" s="257">
        <f>J110+J111+J112+J113+J114+J116</f>
        <v>204.57999999999998</v>
      </c>
      <c r="K122" s="1"/>
    </row>
    <row r="123" spans="1:15" ht="15" hidden="1" customHeight="1" x14ac:dyDescent="0.3">
      <c r="E123" s="258"/>
      <c r="G123" s="259"/>
      <c r="H123" s="260"/>
      <c r="I123" s="123"/>
      <c r="J123" s="1"/>
      <c r="K123" s="1"/>
    </row>
    <row r="124" spans="1:15" ht="15" hidden="1" customHeight="1" x14ac:dyDescent="0.3">
      <c r="E124" s="258"/>
      <c r="G124" s="259"/>
      <c r="H124" s="260"/>
      <c r="I124" s="123"/>
      <c r="J124" s="1"/>
      <c r="K124" s="1"/>
    </row>
    <row r="125" spans="1:15" ht="18" hidden="1" customHeight="1" x14ac:dyDescent="0.3">
      <c r="E125" s="258"/>
      <c r="G125" s="259"/>
      <c r="H125" s="260"/>
      <c r="I125" s="123"/>
      <c r="J125" s="1"/>
      <c r="K125" s="1"/>
    </row>
    <row r="126" spans="1:15" ht="17.25" customHeight="1" x14ac:dyDescent="0.45">
      <c r="A126" s="261"/>
      <c r="B126" s="170"/>
      <c r="C126" s="1"/>
      <c r="D126" s="262"/>
      <c r="E126" s="263"/>
      <c r="F126" s="264"/>
      <c r="G126" s="265"/>
      <c r="H126" s="33"/>
      <c r="I126" s="123"/>
      <c r="J126" s="266"/>
      <c r="K126" s="170"/>
      <c r="L126" s="180"/>
      <c r="M126" s="180"/>
      <c r="N126" s="181"/>
      <c r="O126" s="181"/>
    </row>
    <row r="127" spans="1:15" ht="14.25" customHeight="1" thickBot="1" x14ac:dyDescent="0.4">
      <c r="A127" s="668"/>
      <c r="B127" s="647"/>
      <c r="C127" s="647"/>
      <c r="D127" s="647"/>
      <c r="E127" s="647"/>
      <c r="F127" s="647"/>
      <c r="G127" s="647"/>
      <c r="H127" s="647"/>
      <c r="I127" s="669"/>
      <c r="J127" s="182"/>
      <c r="K127" s="170"/>
    </row>
    <row r="128" spans="1:15" ht="15" customHeight="1" outlineLevel="2" thickBot="1" x14ac:dyDescent="0.35">
      <c r="A128" s="671" t="s">
        <v>133</v>
      </c>
      <c r="B128" s="608"/>
      <c r="C128" s="267" t="s">
        <v>134</v>
      </c>
      <c r="D128" s="151">
        <f>0.075*' COMP.MAXFIO'!I5</f>
        <v>6.4124999999999996</v>
      </c>
      <c r="E128" s="53">
        <v>0</v>
      </c>
      <c r="F128" s="268">
        <f t="shared" ref="F128:F134" si="38">D128/0.77</f>
        <v>8.3279220779220768</v>
      </c>
      <c r="G128" s="47">
        <f t="shared" ref="G128:G148" si="39">E128*D128</f>
        <v>0</v>
      </c>
      <c r="H128" s="48">
        <f t="shared" ref="H128:H148" si="40">E128*F128</f>
        <v>0</v>
      </c>
      <c r="I128" s="236" t="e">
        <f t="shared" ref="I128:I149" si="41">1-(G128/H128)</f>
        <v>#DIV/0!</v>
      </c>
      <c r="J128" s="269"/>
      <c r="K128" s="270" t="s">
        <v>135</v>
      </c>
      <c r="L128" s="62" t="s">
        <v>21</v>
      </c>
      <c r="M128" s="63"/>
      <c r="N128" s="64">
        <f>G149</f>
        <v>0</v>
      </c>
      <c r="O128" s="131" t="e">
        <f>N128/N129</f>
        <v>#DIV/0!</v>
      </c>
    </row>
    <row r="129" spans="1:18" ht="18" customHeight="1" outlineLevel="2" thickBot="1" x14ac:dyDescent="0.45">
      <c r="A129" s="609"/>
      <c r="B129" s="611"/>
      <c r="C129" s="1" t="s">
        <v>136</v>
      </c>
      <c r="D129" s="154">
        <f>0.105*' COMP.MAXFIO'!I5</f>
        <v>8.9774999999999991</v>
      </c>
      <c r="E129" s="30">
        <v>0</v>
      </c>
      <c r="F129" s="268">
        <f t="shared" si="38"/>
        <v>11.659090909090908</v>
      </c>
      <c r="G129" s="32">
        <f t="shared" si="39"/>
        <v>0</v>
      </c>
      <c r="H129" s="33">
        <f t="shared" si="40"/>
        <v>0</v>
      </c>
      <c r="I129" s="123" t="e">
        <f t="shared" si="41"/>
        <v>#DIV/0!</v>
      </c>
      <c r="J129" s="271"/>
      <c r="K129" s="270" t="s">
        <v>137</v>
      </c>
      <c r="L129" s="66" t="s">
        <v>50</v>
      </c>
      <c r="M129" s="67"/>
      <c r="N129" s="72">
        <f>H149</f>
        <v>0</v>
      </c>
      <c r="O129" s="73" t="e">
        <f>O128+O130</f>
        <v>#DIV/0!</v>
      </c>
    </row>
    <row r="130" spans="1:18" ht="18" customHeight="1" outlineLevel="2" thickBot="1" x14ac:dyDescent="0.45">
      <c r="A130" s="609"/>
      <c r="B130" s="611"/>
      <c r="C130" s="1" t="s">
        <v>138</v>
      </c>
      <c r="D130" s="154">
        <v>11.15</v>
      </c>
      <c r="E130" s="30">
        <v>0</v>
      </c>
      <c r="F130" s="268">
        <f t="shared" si="38"/>
        <v>14.480519480519481</v>
      </c>
      <c r="G130" s="32">
        <f t="shared" si="39"/>
        <v>0</v>
      </c>
      <c r="H130" s="33">
        <f t="shared" si="40"/>
        <v>0</v>
      </c>
      <c r="I130" s="123" t="e">
        <f t="shared" si="41"/>
        <v>#DIV/0!</v>
      </c>
      <c r="J130" s="271"/>
      <c r="K130" s="270"/>
      <c r="L130" s="66" t="s">
        <v>52</v>
      </c>
      <c r="M130" s="71">
        <v>0</v>
      </c>
      <c r="N130" s="72">
        <f>N129-N128</f>
        <v>0</v>
      </c>
      <c r="O130" s="73" t="e">
        <f>(N130/N129)</f>
        <v>#DIV/0!</v>
      </c>
    </row>
    <row r="131" spans="1:18" ht="18" customHeight="1" outlineLevel="2" thickBot="1" x14ac:dyDescent="0.45">
      <c r="A131" s="609"/>
      <c r="B131" s="611"/>
      <c r="C131" s="1" t="s">
        <v>139</v>
      </c>
      <c r="D131" s="154">
        <f>0.225*' COMP.MAXFIO'!I5</f>
        <v>19.237500000000001</v>
      </c>
      <c r="E131" s="30">
        <v>0</v>
      </c>
      <c r="F131" s="268">
        <f t="shared" si="38"/>
        <v>24.983766233766236</v>
      </c>
      <c r="G131" s="32">
        <f t="shared" si="39"/>
        <v>0</v>
      </c>
      <c r="H131" s="33">
        <f t="shared" si="40"/>
        <v>0</v>
      </c>
      <c r="I131" s="123" t="e">
        <f t="shared" si="41"/>
        <v>#DIV/0!</v>
      </c>
      <c r="J131" s="271"/>
      <c r="K131" s="270"/>
      <c r="L131" s="66" t="s">
        <v>54</v>
      </c>
      <c r="M131" s="67" t="s">
        <v>27</v>
      </c>
      <c r="N131" s="72">
        <f>N128+N130</f>
        <v>0</v>
      </c>
      <c r="O131" s="73"/>
      <c r="P131" s="272"/>
      <c r="Q131" s="670" t="s">
        <v>81</v>
      </c>
      <c r="R131" s="640"/>
    </row>
    <row r="132" spans="1:18" ht="14.25" customHeight="1" outlineLevel="2" x14ac:dyDescent="0.3">
      <c r="A132" s="609"/>
      <c r="B132" s="611"/>
      <c r="C132" s="1" t="s">
        <v>140</v>
      </c>
      <c r="D132" s="154">
        <v>21.21</v>
      </c>
      <c r="E132" s="30">
        <v>0</v>
      </c>
      <c r="F132" s="268">
        <f t="shared" si="38"/>
        <v>27.545454545454547</v>
      </c>
      <c r="G132" s="32">
        <f t="shared" si="39"/>
        <v>0</v>
      </c>
      <c r="H132" s="33">
        <f t="shared" si="40"/>
        <v>0</v>
      </c>
      <c r="I132" s="123" t="e">
        <f t="shared" si="41"/>
        <v>#DIV/0!</v>
      </c>
      <c r="J132" s="271"/>
      <c r="K132" s="270"/>
      <c r="L132" s="74" t="s">
        <v>56</v>
      </c>
      <c r="M132" s="75">
        <v>0</v>
      </c>
      <c r="N132" s="76">
        <f t="shared" ref="N132:N138" si="42">($N$131*M132)</f>
        <v>0</v>
      </c>
      <c r="O132" s="77"/>
      <c r="Q132" s="134" t="s">
        <v>82</v>
      </c>
      <c r="R132" s="135" t="e">
        <f t="shared" ref="R132:R134" si="43">#REF!</f>
        <v>#REF!</v>
      </c>
    </row>
    <row r="133" spans="1:18" ht="14.25" customHeight="1" outlineLevel="2" x14ac:dyDescent="0.3">
      <c r="A133" s="609"/>
      <c r="B133" s="611"/>
      <c r="C133" s="1" t="s">
        <v>141</v>
      </c>
      <c r="D133" s="154">
        <v>38</v>
      </c>
      <c r="E133" s="30">
        <v>0</v>
      </c>
      <c r="F133" s="268">
        <f t="shared" si="38"/>
        <v>49.350649350649348</v>
      </c>
      <c r="G133" s="32">
        <f t="shared" si="39"/>
        <v>0</v>
      </c>
      <c r="H133" s="33">
        <f t="shared" si="40"/>
        <v>0</v>
      </c>
      <c r="I133" s="123" t="e">
        <f t="shared" si="41"/>
        <v>#DIV/0!</v>
      </c>
      <c r="J133" s="271"/>
      <c r="K133" s="270"/>
      <c r="L133" s="79" t="s">
        <v>58</v>
      </c>
      <c r="M133" s="75">
        <v>6.4999999999999997E-3</v>
      </c>
      <c r="N133" s="76">
        <f t="shared" si="42"/>
        <v>0</v>
      </c>
      <c r="O133" s="80"/>
      <c r="Q133" s="134" t="s">
        <v>89</v>
      </c>
      <c r="R133" s="135" t="e">
        <f t="shared" si="43"/>
        <v>#REF!</v>
      </c>
    </row>
    <row r="134" spans="1:18" ht="14.25" customHeight="1" outlineLevel="2" thickBot="1" x14ac:dyDescent="0.35">
      <c r="A134" s="612"/>
      <c r="B134" s="614"/>
      <c r="C134" s="1" t="s">
        <v>142</v>
      </c>
      <c r="D134" s="158">
        <f>0.42*' COMP.MAXFIO'!I5</f>
        <v>35.909999999999997</v>
      </c>
      <c r="E134" s="30">
        <v>0</v>
      </c>
      <c r="F134" s="273">
        <f t="shared" si="38"/>
        <v>46.636363636363633</v>
      </c>
      <c r="G134" s="32">
        <f t="shared" si="39"/>
        <v>0</v>
      </c>
      <c r="H134" s="33">
        <f t="shared" si="40"/>
        <v>0</v>
      </c>
      <c r="I134" s="123" t="e">
        <f t="shared" si="41"/>
        <v>#DIV/0!</v>
      </c>
      <c r="J134" s="274"/>
      <c r="K134" s="270"/>
      <c r="L134" s="82" t="s">
        <v>60</v>
      </c>
      <c r="M134" s="75">
        <v>0</v>
      </c>
      <c r="N134" s="76">
        <f t="shared" si="42"/>
        <v>0</v>
      </c>
      <c r="O134" s="80"/>
      <c r="Q134" s="275" t="s">
        <v>90</v>
      </c>
      <c r="R134" s="276" t="e">
        <f t="shared" si="43"/>
        <v>#REF!</v>
      </c>
    </row>
    <row r="135" spans="1:18" ht="14.25" customHeight="1" outlineLevel="2" x14ac:dyDescent="0.3">
      <c r="A135" s="672" t="s">
        <v>143</v>
      </c>
      <c r="B135" s="608"/>
      <c r="C135" s="212" t="s">
        <v>144</v>
      </c>
      <c r="D135" s="151">
        <v>3.15</v>
      </c>
      <c r="E135" s="53">
        <v>0</v>
      </c>
      <c r="F135" s="277">
        <f>D135/0.8</f>
        <v>3.9374999999999996</v>
      </c>
      <c r="G135" s="47">
        <f t="shared" si="39"/>
        <v>0</v>
      </c>
      <c r="H135" s="48">
        <f t="shared" si="40"/>
        <v>0</v>
      </c>
      <c r="I135" s="49" t="e">
        <f t="shared" si="41"/>
        <v>#DIV/0!</v>
      </c>
      <c r="J135" s="269"/>
      <c r="K135" s="270"/>
      <c r="L135" s="82" t="s">
        <v>62</v>
      </c>
      <c r="M135" s="75">
        <v>0</v>
      </c>
      <c r="N135" s="76">
        <f t="shared" si="42"/>
        <v>0</v>
      </c>
      <c r="O135" s="80"/>
    </row>
    <row r="136" spans="1:18" ht="14.25" customHeight="1" outlineLevel="2" thickBot="1" x14ac:dyDescent="0.35">
      <c r="A136" s="612"/>
      <c r="B136" s="614"/>
      <c r="C136" s="232" t="s">
        <v>145</v>
      </c>
      <c r="D136" s="158">
        <v>3.9</v>
      </c>
      <c r="E136" s="41">
        <v>0</v>
      </c>
      <c r="F136" s="278">
        <v>4.9800000000000004</v>
      </c>
      <c r="G136" s="43">
        <f t="shared" si="39"/>
        <v>0</v>
      </c>
      <c r="H136" s="44">
        <f t="shared" si="40"/>
        <v>0</v>
      </c>
      <c r="I136" s="45" t="e">
        <f t="shared" si="41"/>
        <v>#DIV/0!</v>
      </c>
      <c r="J136" s="271"/>
      <c r="K136" s="270"/>
      <c r="L136" s="82" t="s">
        <v>64</v>
      </c>
      <c r="M136" s="75">
        <v>0</v>
      </c>
      <c r="N136" s="76">
        <f t="shared" si="42"/>
        <v>0</v>
      </c>
      <c r="O136" s="80"/>
    </row>
    <row r="137" spans="1:18" ht="14.25" customHeight="1" outlineLevel="2" x14ac:dyDescent="0.3">
      <c r="A137" s="666" t="str">
        <f>A110</f>
        <v>CABO DE SOLDA</v>
      </c>
      <c r="B137" s="608"/>
      <c r="C137" s="279" t="str">
        <f t="shared" ref="C137:D137" si="44">C110</f>
        <v>16,0MM</v>
      </c>
      <c r="D137" s="151">
        <f t="shared" si="44"/>
        <v>1073.0250000000001</v>
      </c>
      <c r="E137" s="280">
        <v>0</v>
      </c>
      <c r="F137" s="281">
        <f t="shared" ref="F137:F142" si="45">F110</f>
        <v>1375.6730769230769</v>
      </c>
      <c r="G137" s="282">
        <f t="shared" si="39"/>
        <v>0</v>
      </c>
      <c r="H137" s="48">
        <f t="shared" si="40"/>
        <v>0</v>
      </c>
      <c r="I137" s="236" t="e">
        <f t="shared" si="41"/>
        <v>#DIV/0!</v>
      </c>
      <c r="J137" s="283">
        <f>E137*' COMP.MAXFIO'!H66</f>
        <v>0</v>
      </c>
      <c r="K137" s="270">
        <v>0</v>
      </c>
      <c r="L137" s="82" t="s">
        <v>66</v>
      </c>
      <c r="M137" s="75">
        <v>0</v>
      </c>
      <c r="N137" s="76">
        <f t="shared" si="42"/>
        <v>0</v>
      </c>
      <c r="O137" s="80"/>
    </row>
    <row r="138" spans="1:18" ht="14.25" customHeight="1" outlineLevel="2" thickBot="1" x14ac:dyDescent="0.35">
      <c r="A138" s="609"/>
      <c r="B138" s="611"/>
      <c r="C138" s="284" t="str">
        <f t="shared" ref="C138:D138" si="46">C111</f>
        <v>25,0MM</v>
      </c>
      <c r="D138" s="154">
        <f t="shared" si="46"/>
        <v>1575.7650000000001</v>
      </c>
      <c r="E138" s="285">
        <v>0</v>
      </c>
      <c r="F138" s="286">
        <f t="shared" si="45"/>
        <v>2020.2115384615386</v>
      </c>
      <c r="G138" s="287">
        <f t="shared" si="39"/>
        <v>0</v>
      </c>
      <c r="H138" s="33">
        <f t="shared" si="40"/>
        <v>0</v>
      </c>
      <c r="I138" s="123" t="e">
        <f t="shared" si="41"/>
        <v>#DIV/0!</v>
      </c>
      <c r="J138" s="288">
        <f>E138*' COMP.MAXFIO'!H67</f>
        <v>0</v>
      </c>
      <c r="K138" s="270">
        <v>0</v>
      </c>
      <c r="L138" s="82"/>
      <c r="M138" s="75">
        <v>0</v>
      </c>
      <c r="N138" s="76">
        <f t="shared" si="42"/>
        <v>0</v>
      </c>
      <c r="O138" s="80"/>
    </row>
    <row r="139" spans="1:18" ht="18" customHeight="1" outlineLevel="2" thickBot="1" x14ac:dyDescent="0.45">
      <c r="A139" s="609"/>
      <c r="B139" s="611"/>
      <c r="C139" s="284" t="str">
        <f t="shared" ref="C139:D139" si="47">C112</f>
        <v>35,0MM</v>
      </c>
      <c r="D139" s="154">
        <f t="shared" si="47"/>
        <v>2241.6390000000001</v>
      </c>
      <c r="E139" s="285">
        <v>0</v>
      </c>
      <c r="F139" s="286">
        <f t="shared" si="45"/>
        <v>2873.896153846154</v>
      </c>
      <c r="G139" s="287">
        <f t="shared" si="39"/>
        <v>0</v>
      </c>
      <c r="H139" s="33">
        <f t="shared" si="40"/>
        <v>0</v>
      </c>
      <c r="I139" s="123" t="e">
        <f t="shared" si="41"/>
        <v>#DIV/0!</v>
      </c>
      <c r="J139" s="288">
        <f>E139*' COMP.MAXFIO'!H68</f>
        <v>0</v>
      </c>
      <c r="K139" s="270">
        <v>0</v>
      </c>
      <c r="L139" s="87" t="s">
        <v>68</v>
      </c>
      <c r="M139" s="88"/>
      <c r="N139" s="159">
        <f>N132+N133+N134+N135+N136+N137+N138</f>
        <v>0</v>
      </c>
      <c r="O139" s="73" t="e">
        <f>N139/N131</f>
        <v>#DIV/0!</v>
      </c>
    </row>
    <row r="140" spans="1:18" ht="18" customHeight="1" outlineLevel="2" thickBot="1" x14ac:dyDescent="0.45">
      <c r="A140" s="609"/>
      <c r="B140" s="611"/>
      <c r="C140" s="284" t="str">
        <f t="shared" ref="C140:D140" si="48">C113</f>
        <v>50,0MM</v>
      </c>
      <c r="D140" s="154">
        <f t="shared" si="48"/>
        <v>3137.85</v>
      </c>
      <c r="E140" s="285">
        <v>0</v>
      </c>
      <c r="F140" s="286">
        <f t="shared" si="45"/>
        <v>4022.8846153846152</v>
      </c>
      <c r="G140" s="287">
        <f t="shared" si="39"/>
        <v>0</v>
      </c>
      <c r="H140" s="33">
        <f t="shared" si="40"/>
        <v>0</v>
      </c>
      <c r="I140" s="123" t="e">
        <f t="shared" si="41"/>
        <v>#DIV/0!</v>
      </c>
      <c r="J140" s="288">
        <f>E140*' COMP.MAXFIO'!H69</f>
        <v>0</v>
      </c>
      <c r="K140" s="270">
        <v>0</v>
      </c>
      <c r="L140" s="94" t="s">
        <v>70</v>
      </c>
      <c r="M140" s="88"/>
      <c r="N140" s="95">
        <f>N131-N139</f>
        <v>0</v>
      </c>
      <c r="O140" s="73"/>
      <c r="P140" s="272"/>
    </row>
    <row r="141" spans="1:18" ht="18" customHeight="1" outlineLevel="2" thickBot="1" x14ac:dyDescent="0.45">
      <c r="A141" s="609"/>
      <c r="B141" s="611"/>
      <c r="C141" s="284" t="str">
        <f t="shared" ref="C141:D141" si="49">C114</f>
        <v>70,0MM</v>
      </c>
      <c r="D141" s="154">
        <f t="shared" si="49"/>
        <v>4370.76</v>
      </c>
      <c r="E141" s="285">
        <v>0</v>
      </c>
      <c r="F141" s="286">
        <f t="shared" si="45"/>
        <v>5603.5384615384619</v>
      </c>
      <c r="G141" s="287">
        <f t="shared" si="39"/>
        <v>0</v>
      </c>
      <c r="H141" s="33">
        <f t="shared" si="40"/>
        <v>0</v>
      </c>
      <c r="I141" s="123" t="e">
        <f t="shared" si="41"/>
        <v>#DIV/0!</v>
      </c>
      <c r="J141" s="288">
        <f>E141*' COMP.MAXFIO'!H70</f>
        <v>0</v>
      </c>
      <c r="K141" s="270">
        <v>0</v>
      </c>
      <c r="L141" s="94"/>
      <c r="M141" s="88"/>
      <c r="N141" s="289"/>
      <c r="O141" s="73"/>
      <c r="P141" s="272"/>
    </row>
    <row r="142" spans="1:18" ht="18" customHeight="1" outlineLevel="2" thickBot="1" x14ac:dyDescent="0.45">
      <c r="A142" s="612"/>
      <c r="B142" s="614"/>
      <c r="C142" s="284" t="str">
        <f t="shared" ref="C142:D142" si="50">C115</f>
        <v>95,0MM</v>
      </c>
      <c r="D142" s="158">
        <f t="shared" si="50"/>
        <v>4370.76</v>
      </c>
      <c r="E142" s="290">
        <v>0</v>
      </c>
      <c r="F142" s="291">
        <f t="shared" si="45"/>
        <v>5603.5384615384619</v>
      </c>
      <c r="G142" s="287">
        <f t="shared" si="39"/>
        <v>0</v>
      </c>
      <c r="H142" s="33">
        <f t="shared" si="40"/>
        <v>0</v>
      </c>
      <c r="I142" s="123" t="e">
        <f t="shared" si="41"/>
        <v>#DIV/0!</v>
      </c>
      <c r="J142" s="292">
        <f>E142*' COMP.MAXFIO'!H71</f>
        <v>0</v>
      </c>
      <c r="K142" s="270">
        <v>0</v>
      </c>
      <c r="L142" s="98" t="s">
        <v>73</v>
      </c>
      <c r="M142" s="99"/>
      <c r="N142" s="100">
        <f>N140-N128</f>
        <v>0</v>
      </c>
      <c r="O142" s="101" t="e">
        <f>(N142/N129)</f>
        <v>#DIV/0!</v>
      </c>
    </row>
    <row r="143" spans="1:18" ht="18" customHeight="1" outlineLevel="2" thickBot="1" x14ac:dyDescent="0.45">
      <c r="A143" s="667" t="str">
        <f>A116</f>
        <v>CABO NÚ 7 FIOS</v>
      </c>
      <c r="B143" s="673"/>
      <c r="C143" s="212" t="str">
        <f t="shared" ref="C143:D148" si="51">C116</f>
        <v>16MM</v>
      </c>
      <c r="D143" s="151">
        <f>D116</f>
        <v>7.5789999999999997</v>
      </c>
      <c r="E143" s="280">
        <v>0</v>
      </c>
      <c r="F143" s="293">
        <v>9.6300000000000008</v>
      </c>
      <c r="G143" s="282">
        <f t="shared" si="39"/>
        <v>0</v>
      </c>
      <c r="H143" s="48">
        <f t="shared" si="40"/>
        <v>0</v>
      </c>
      <c r="I143" s="49" t="e">
        <f t="shared" si="41"/>
        <v>#DIV/0!</v>
      </c>
      <c r="J143" s="283">
        <f t="shared" ref="J143:J148" si="52">M116*E143</f>
        <v>0</v>
      </c>
      <c r="K143" s="270"/>
      <c r="L143" s="294"/>
      <c r="M143" s="295"/>
      <c r="N143" s="296"/>
      <c r="O143" s="297"/>
    </row>
    <row r="144" spans="1:18" ht="18" customHeight="1" outlineLevel="2" thickBot="1" x14ac:dyDescent="0.45">
      <c r="A144" s="609"/>
      <c r="B144" s="674"/>
      <c r="C144" s="219" t="str">
        <f t="shared" si="51"/>
        <v>25MM</v>
      </c>
      <c r="D144" s="151">
        <f t="shared" si="51"/>
        <v>12.012</v>
      </c>
      <c r="E144" s="285">
        <v>0</v>
      </c>
      <c r="F144" s="293">
        <v>15.36</v>
      </c>
      <c r="G144" s="287">
        <f t="shared" si="39"/>
        <v>0</v>
      </c>
      <c r="H144" s="33">
        <f t="shared" si="40"/>
        <v>0</v>
      </c>
      <c r="I144" s="34" t="e">
        <f t="shared" si="41"/>
        <v>#DIV/0!</v>
      </c>
      <c r="J144" s="288">
        <f t="shared" si="52"/>
        <v>0</v>
      </c>
      <c r="K144" s="270"/>
      <c r="L144" s="294"/>
      <c r="M144" s="295"/>
      <c r="N144" s="296"/>
      <c r="O144" s="297"/>
    </row>
    <row r="145" spans="1:18" ht="18" customHeight="1" outlineLevel="2" thickBot="1" x14ac:dyDescent="0.45">
      <c r="A145" s="609"/>
      <c r="B145" s="674"/>
      <c r="C145" s="219" t="str">
        <f t="shared" si="51"/>
        <v>35MM</v>
      </c>
      <c r="D145" s="151">
        <f t="shared" si="51"/>
        <v>17.374500000000001</v>
      </c>
      <c r="E145" s="285">
        <v>0</v>
      </c>
      <c r="F145" s="293">
        <v>22.18</v>
      </c>
      <c r="G145" s="287">
        <f t="shared" si="39"/>
        <v>0</v>
      </c>
      <c r="H145" s="33">
        <f t="shared" si="40"/>
        <v>0</v>
      </c>
      <c r="I145" s="34" t="e">
        <f t="shared" si="41"/>
        <v>#DIV/0!</v>
      </c>
      <c r="J145" s="288">
        <f t="shared" si="52"/>
        <v>0</v>
      </c>
      <c r="K145" s="270"/>
      <c r="L145" s="294"/>
      <c r="M145" s="295"/>
      <c r="N145" s="296"/>
      <c r="O145" s="297"/>
    </row>
    <row r="146" spans="1:18" ht="18" customHeight="1" outlineLevel="2" thickBot="1" x14ac:dyDescent="0.45">
      <c r="A146" s="609"/>
      <c r="B146" s="674"/>
      <c r="C146" s="219" t="str">
        <f t="shared" si="51"/>
        <v>50MM</v>
      </c>
      <c r="D146" s="151">
        <f t="shared" si="51"/>
        <v>25.453999999999997</v>
      </c>
      <c r="E146" s="285">
        <v>0</v>
      </c>
      <c r="F146" s="293">
        <v>33.450000000000003</v>
      </c>
      <c r="G146" s="287">
        <f t="shared" si="39"/>
        <v>0</v>
      </c>
      <c r="H146" s="33">
        <f t="shared" si="40"/>
        <v>0</v>
      </c>
      <c r="I146" s="34" t="e">
        <f t="shared" si="41"/>
        <v>#DIV/0!</v>
      </c>
      <c r="J146" s="288">
        <f t="shared" si="52"/>
        <v>0</v>
      </c>
      <c r="K146" s="270"/>
      <c r="L146" s="294"/>
      <c r="M146" s="295"/>
      <c r="N146" s="296"/>
      <c r="O146" s="297"/>
    </row>
    <row r="147" spans="1:18" ht="18" customHeight="1" outlineLevel="2" thickBot="1" x14ac:dyDescent="0.45">
      <c r="A147" s="609"/>
      <c r="B147" s="674"/>
      <c r="C147" s="219" t="str">
        <f t="shared" si="51"/>
        <v>70MM</v>
      </c>
      <c r="D147" s="151">
        <f t="shared" si="51"/>
        <v>32.317999999999998</v>
      </c>
      <c r="E147" s="285">
        <v>0</v>
      </c>
      <c r="F147" s="293">
        <v>41.65</v>
      </c>
      <c r="G147" s="287">
        <f t="shared" si="39"/>
        <v>0</v>
      </c>
      <c r="H147" s="33">
        <f t="shared" si="40"/>
        <v>0</v>
      </c>
      <c r="I147" s="34" t="e">
        <f t="shared" si="41"/>
        <v>#DIV/0!</v>
      </c>
      <c r="J147" s="288">
        <f t="shared" si="52"/>
        <v>0</v>
      </c>
      <c r="K147" s="270"/>
      <c r="L147" s="294"/>
      <c r="M147" s="295"/>
      <c r="N147" s="296"/>
      <c r="O147" s="297"/>
    </row>
    <row r="148" spans="1:18" ht="18" customHeight="1" outlineLevel="2" thickBot="1" x14ac:dyDescent="0.45">
      <c r="A148" s="659"/>
      <c r="B148" s="675"/>
      <c r="C148" s="232" t="str">
        <f t="shared" si="51"/>
        <v>95MM</v>
      </c>
      <c r="D148" s="151">
        <f t="shared" si="51"/>
        <v>41.541499999999999</v>
      </c>
      <c r="E148" s="290">
        <v>0</v>
      </c>
      <c r="F148" s="293">
        <f t="shared" ref="F148" si="53">D148/0.8</f>
        <v>51.926874999999995</v>
      </c>
      <c r="G148" s="298">
        <f t="shared" si="39"/>
        <v>0</v>
      </c>
      <c r="H148" s="44">
        <f t="shared" si="40"/>
        <v>0</v>
      </c>
      <c r="I148" s="45" t="e">
        <f t="shared" si="41"/>
        <v>#DIV/0!</v>
      </c>
      <c r="J148" s="292">
        <f t="shared" si="52"/>
        <v>0</v>
      </c>
      <c r="K148" s="270"/>
      <c r="L148" s="294"/>
      <c r="M148" s="295"/>
      <c r="N148" s="296"/>
      <c r="O148" s="297"/>
    </row>
    <row r="149" spans="1:18" ht="18" customHeight="1" thickBot="1" x14ac:dyDescent="0.5">
      <c r="A149" s="676" t="s">
        <v>78</v>
      </c>
      <c r="B149" s="677"/>
      <c r="C149" s="677"/>
      <c r="D149" s="678"/>
      <c r="E149" s="299">
        <f>SUM(E128:E142)</f>
        <v>0</v>
      </c>
      <c r="F149" s="300"/>
      <c r="G149" s="301">
        <f>SUM(G128:G148)</f>
        <v>0</v>
      </c>
      <c r="H149" s="300">
        <f>SUM(H128:H148)</f>
        <v>0</v>
      </c>
      <c r="I149" s="302" t="e">
        <f t="shared" si="41"/>
        <v>#DIV/0!</v>
      </c>
      <c r="J149" s="303">
        <f>SUM(J128:J148)</f>
        <v>0</v>
      </c>
      <c r="K149" s="270"/>
      <c r="L149" s="104" t="s">
        <v>76</v>
      </c>
      <c r="M149" s="105"/>
      <c r="N149" s="106" t="e">
        <f ca="1">ARRAY_CONSTRAIN(ARRAYFORMULA(_xlfn.IFS(N140&gt;=VIABILIDADE!#REF!,"APROVADA",N140&lt;VIABILIDADE!#REF!,"REPROVADA")), 1, 1)</f>
        <v>#NAME?</v>
      </c>
      <c r="O149" s="107"/>
    </row>
    <row r="150" spans="1:18" ht="14.25" customHeight="1" x14ac:dyDescent="0.45">
      <c r="C150" s="1"/>
      <c r="D150" s="118"/>
      <c r="E150" s="1"/>
      <c r="F150" s="120"/>
      <c r="G150" s="118"/>
      <c r="H150" s="120"/>
      <c r="I150" s="218"/>
      <c r="L150" s="180"/>
      <c r="M150" s="180"/>
      <c r="N150" s="181"/>
      <c r="O150" s="181"/>
    </row>
    <row r="151" spans="1:18" ht="14.25" customHeight="1" x14ac:dyDescent="0.3">
      <c r="C151" s="1"/>
      <c r="D151" s="118"/>
      <c r="E151" s="1"/>
      <c r="F151" s="120"/>
      <c r="G151" s="118"/>
      <c r="H151" s="120"/>
      <c r="I151" s="218"/>
    </row>
    <row r="152" spans="1:18" ht="14.25" customHeight="1" x14ac:dyDescent="0.3">
      <c r="C152" s="1"/>
      <c r="D152" s="118"/>
      <c r="E152" s="1"/>
      <c r="F152" s="120"/>
      <c r="G152" s="118"/>
      <c r="H152" s="120"/>
      <c r="I152" s="218"/>
      <c r="L152" s="658" t="s">
        <v>146</v>
      </c>
      <c r="M152" s="607"/>
      <c r="N152" s="607"/>
      <c r="O152" s="608"/>
    </row>
    <row r="153" spans="1:18" ht="14.25" customHeight="1" x14ac:dyDescent="0.3">
      <c r="C153" s="1"/>
      <c r="D153" s="118"/>
      <c r="E153" s="1"/>
      <c r="F153" s="120"/>
      <c r="G153" s="118"/>
      <c r="H153" s="120"/>
      <c r="I153" s="218"/>
      <c r="L153" s="659"/>
      <c r="M153" s="660"/>
      <c r="N153" s="660"/>
      <c r="O153" s="661"/>
    </row>
    <row r="154" spans="1:18" ht="14.25" customHeight="1" x14ac:dyDescent="0.3">
      <c r="C154" s="1"/>
      <c r="D154" s="118"/>
      <c r="E154" s="1"/>
      <c r="F154" s="120"/>
      <c r="G154" s="118"/>
      <c r="H154" s="120"/>
      <c r="I154" s="218"/>
      <c r="L154" s="62" t="s">
        <v>21</v>
      </c>
      <c r="M154" s="63"/>
      <c r="N154" s="64">
        <f t="shared" ref="N154:N155" si="54">N40+N60+N78+N95+N128</f>
        <v>0</v>
      </c>
      <c r="O154" s="131" t="e">
        <f>N154/N155</f>
        <v>#DIV/0!</v>
      </c>
    </row>
    <row r="155" spans="1:18" ht="18" customHeight="1" x14ac:dyDescent="0.4">
      <c r="C155" s="1"/>
      <c r="D155" s="118"/>
      <c r="E155" s="1"/>
      <c r="F155" s="120"/>
      <c r="G155" s="118"/>
      <c r="H155" s="120"/>
      <c r="I155" s="218"/>
      <c r="L155" s="66" t="s">
        <v>50</v>
      </c>
      <c r="M155" s="67"/>
      <c r="N155" s="72">
        <f t="shared" si="54"/>
        <v>0</v>
      </c>
      <c r="O155" s="73" t="e">
        <f>O154+O156</f>
        <v>#DIV/0!</v>
      </c>
    </row>
    <row r="156" spans="1:18" ht="18" customHeight="1" x14ac:dyDescent="0.4">
      <c r="C156" s="1"/>
      <c r="D156" s="118"/>
      <c r="E156" s="1"/>
      <c r="F156" s="120"/>
      <c r="G156" s="118"/>
      <c r="H156" s="120"/>
      <c r="I156" s="218"/>
      <c r="L156" s="66" t="s">
        <v>52</v>
      </c>
      <c r="M156" s="71">
        <v>0</v>
      </c>
      <c r="N156" s="72">
        <f>N155-N154</f>
        <v>0</v>
      </c>
      <c r="O156" s="73" t="e">
        <f>(N156/N155)</f>
        <v>#DIV/0!</v>
      </c>
      <c r="Q156" s="662" t="s">
        <v>81</v>
      </c>
      <c r="R156" s="640"/>
    </row>
    <row r="157" spans="1:18" ht="18" customHeight="1" x14ac:dyDescent="0.4">
      <c r="C157" s="1"/>
      <c r="D157" s="118"/>
      <c r="E157" s="1"/>
      <c r="F157" s="120"/>
      <c r="G157" s="118"/>
      <c r="H157" s="120"/>
      <c r="I157" s="218"/>
      <c r="L157" s="66" t="s">
        <v>54</v>
      </c>
      <c r="M157" s="67" t="s">
        <v>27</v>
      </c>
      <c r="N157" s="72">
        <f>N154+N156</f>
        <v>0</v>
      </c>
      <c r="O157" s="73"/>
      <c r="Q157" s="134" t="s">
        <v>82</v>
      </c>
      <c r="R157" s="135" t="e">
        <f>#REF!+R64+R80+R96+R132</f>
        <v>#REF!</v>
      </c>
    </row>
    <row r="158" spans="1:18" ht="14.25" customHeight="1" x14ac:dyDescent="0.3">
      <c r="C158" s="1"/>
      <c r="D158" s="118"/>
      <c r="E158" s="1"/>
      <c r="F158" s="120"/>
      <c r="G158" s="118"/>
      <c r="H158" s="120"/>
      <c r="I158" s="218"/>
      <c r="L158" s="74" t="s">
        <v>56</v>
      </c>
      <c r="M158" s="304" t="e">
        <f t="shared" ref="M158:M163" si="55">N158/$N$157</f>
        <v>#DIV/0!</v>
      </c>
      <c r="N158" s="305">
        <f t="shared" ref="N158:N163" si="56">N44+N64+N82+N99+N132</f>
        <v>0</v>
      </c>
      <c r="O158" s="77"/>
      <c r="Q158" s="134" t="s">
        <v>89</v>
      </c>
      <c r="R158" s="135" t="e">
        <f>#REF!+#REF!+R81+R97+R133</f>
        <v>#REF!</v>
      </c>
    </row>
    <row r="159" spans="1:18" ht="14.25" customHeight="1" x14ac:dyDescent="0.3">
      <c r="C159" s="1"/>
      <c r="D159" s="118"/>
      <c r="E159" s="1"/>
      <c r="F159" s="120"/>
      <c r="G159" s="118"/>
      <c r="H159" s="120"/>
      <c r="I159" s="218"/>
      <c r="L159" s="79" t="s">
        <v>58</v>
      </c>
      <c r="M159" s="304" t="e">
        <f t="shared" si="55"/>
        <v>#DIV/0!</v>
      </c>
      <c r="N159" s="305">
        <f t="shared" si="56"/>
        <v>0</v>
      </c>
      <c r="O159" s="80"/>
      <c r="Q159" s="306" t="s">
        <v>90</v>
      </c>
      <c r="R159" s="307" t="e">
        <f>R20+#REF!+R82+R98</f>
        <v>#REF!</v>
      </c>
    </row>
    <row r="160" spans="1:18" ht="14.25" customHeight="1" x14ac:dyDescent="0.3">
      <c r="C160" s="1"/>
      <c r="D160" s="118"/>
      <c r="E160" s="1"/>
      <c r="F160" s="120"/>
      <c r="G160" s="118"/>
      <c r="H160" s="120"/>
      <c r="I160" s="218"/>
      <c r="L160" s="82" t="s">
        <v>60</v>
      </c>
      <c r="M160" s="304" t="e">
        <f t="shared" si="55"/>
        <v>#DIV/0!</v>
      </c>
      <c r="N160" s="305">
        <f t="shared" si="56"/>
        <v>0</v>
      </c>
      <c r="O160" s="80"/>
    </row>
    <row r="161" spans="3:16" ht="14.25" customHeight="1" x14ac:dyDescent="0.3">
      <c r="C161" s="1"/>
      <c r="D161" s="118"/>
      <c r="E161" s="1"/>
      <c r="F161" s="120"/>
      <c r="G161" s="118"/>
      <c r="H161" s="120"/>
      <c r="I161" s="218"/>
      <c r="L161" s="82" t="s">
        <v>62</v>
      </c>
      <c r="M161" s="304" t="e">
        <f t="shared" si="55"/>
        <v>#DIV/0!</v>
      </c>
      <c r="N161" s="305">
        <f t="shared" si="56"/>
        <v>0</v>
      </c>
      <c r="O161" s="80"/>
    </row>
    <row r="162" spans="3:16" ht="14.25" customHeight="1" x14ac:dyDescent="0.3">
      <c r="C162" s="1"/>
      <c r="D162" s="118"/>
      <c r="E162" s="1"/>
      <c r="F162" s="120"/>
      <c r="G162" s="118"/>
      <c r="H162" s="120"/>
      <c r="I162" s="218"/>
      <c r="L162" s="82" t="s">
        <v>64</v>
      </c>
      <c r="M162" s="304" t="e">
        <f t="shared" si="55"/>
        <v>#DIV/0!</v>
      </c>
      <c r="N162" s="305">
        <f t="shared" si="56"/>
        <v>0</v>
      </c>
      <c r="O162" s="80"/>
    </row>
    <row r="163" spans="3:16" ht="14.25" customHeight="1" x14ac:dyDescent="0.3">
      <c r="C163" s="1"/>
      <c r="D163" s="118"/>
      <c r="E163" s="1"/>
      <c r="F163" s="120"/>
      <c r="G163" s="118"/>
      <c r="H163" s="120"/>
      <c r="I163" s="218"/>
      <c r="L163" s="82" t="s">
        <v>66</v>
      </c>
      <c r="M163" s="304" t="e">
        <f t="shared" si="55"/>
        <v>#DIV/0!</v>
      </c>
      <c r="N163" s="305">
        <f t="shared" si="56"/>
        <v>0</v>
      </c>
      <c r="O163" s="80"/>
    </row>
    <row r="164" spans="3:16" ht="18" customHeight="1" x14ac:dyDescent="0.4">
      <c r="C164" s="1"/>
      <c r="D164" s="118"/>
      <c r="E164" s="1"/>
      <c r="F164" s="120"/>
      <c r="G164" s="118"/>
      <c r="H164" s="120"/>
      <c r="I164" s="218"/>
      <c r="L164" s="87" t="s">
        <v>68</v>
      </c>
      <c r="M164" s="88"/>
      <c r="N164" s="159">
        <f>N158+N159+N160+N161+N162+N163</f>
        <v>0</v>
      </c>
      <c r="O164" s="73" t="e">
        <f>N164/N157</f>
        <v>#DIV/0!</v>
      </c>
    </row>
    <row r="165" spans="3:16" ht="18" customHeight="1" x14ac:dyDescent="0.4">
      <c r="C165" s="1"/>
      <c r="D165" s="118"/>
      <c r="E165" s="1"/>
      <c r="F165" s="120"/>
      <c r="G165" s="118"/>
      <c r="H165" s="120"/>
      <c r="I165" s="218"/>
      <c r="L165" s="94" t="s">
        <v>70</v>
      </c>
      <c r="M165" s="88"/>
      <c r="N165" s="95">
        <f>N157-N164</f>
        <v>0</v>
      </c>
      <c r="O165" s="73"/>
      <c r="P165" s="96" t="s">
        <v>71</v>
      </c>
    </row>
    <row r="166" spans="3:16" ht="18" customHeight="1" x14ac:dyDescent="0.4">
      <c r="C166" s="1"/>
      <c r="D166" s="118"/>
      <c r="E166" s="1"/>
      <c r="F166" s="120"/>
      <c r="G166" s="118"/>
      <c r="H166" s="120"/>
      <c r="I166" s="218"/>
      <c r="L166" s="98" t="s">
        <v>73</v>
      </c>
      <c r="M166" s="99"/>
      <c r="N166" s="100">
        <f>N165-N154</f>
        <v>0</v>
      </c>
      <c r="O166" s="101" t="e">
        <f>(N166/N155)</f>
        <v>#DIV/0!</v>
      </c>
      <c r="P166" s="102" t="s">
        <v>110</v>
      </c>
    </row>
    <row r="167" spans="3:16" ht="18.75" customHeight="1" x14ac:dyDescent="0.45">
      <c r="C167" s="1"/>
      <c r="D167" s="118"/>
      <c r="E167" s="1"/>
      <c r="F167" s="120"/>
      <c r="G167" s="118"/>
      <c r="H167" s="120"/>
      <c r="I167" s="218"/>
      <c r="L167" s="104" t="s">
        <v>76</v>
      </c>
      <c r="M167" s="105"/>
      <c r="N167" s="106" t="e">
        <f ca="1">ARRAY_CONSTRAIN(ARRAYFORMULA(_xlfn.IFS(N165&gt;=VIABILIDADE!#REF!,"APROVADA",N165&lt;VIABILIDADE!#REF!,"REPROVADA")), 1, 1)</f>
        <v>#NAME?</v>
      </c>
      <c r="O167" s="107"/>
    </row>
    <row r="168" spans="3:16" ht="18" customHeight="1" x14ac:dyDescent="0.45">
      <c r="C168" s="1"/>
      <c r="D168" s="118"/>
      <c r="E168" s="1"/>
      <c r="F168" s="120"/>
      <c r="G168" s="118"/>
      <c r="H168" s="120"/>
      <c r="I168" s="218"/>
      <c r="L168" s="104" t="s">
        <v>76</v>
      </c>
      <c r="M168" s="308"/>
      <c r="N168" s="106" t="e">
        <f t="array" aca="1" ref="N168" ca="1">_xludf.IFS(O165&gt;=VIABILIDADE!N99,"APROVADA",O165&lt;VIABILIDADE!N99,"REPROVADA")</f>
        <v>#NAME?</v>
      </c>
      <c r="O168" s="107"/>
    </row>
    <row r="169" spans="3:16" ht="14.25" customHeight="1" x14ac:dyDescent="0.3">
      <c r="C169" s="1"/>
      <c r="D169" s="118"/>
      <c r="E169" s="1"/>
      <c r="F169" s="120"/>
      <c r="G169" s="118"/>
      <c r="H169" s="120"/>
      <c r="I169" s="218"/>
      <c r="M169" s="170"/>
    </row>
    <row r="170" spans="3:16" ht="14.25" customHeight="1" x14ac:dyDescent="0.3">
      <c r="C170" s="1"/>
      <c r="D170" s="118"/>
      <c r="E170" s="1"/>
      <c r="F170" s="120"/>
      <c r="G170" s="118"/>
      <c r="H170" s="120"/>
      <c r="I170" s="218"/>
    </row>
    <row r="171" spans="3:16" ht="14.25" customHeight="1" x14ac:dyDescent="0.3">
      <c r="C171" s="1"/>
      <c r="D171" s="118"/>
      <c r="E171" s="1"/>
      <c r="F171" s="120"/>
      <c r="G171" s="118"/>
      <c r="H171" s="120"/>
      <c r="I171" s="218"/>
    </row>
    <row r="172" spans="3:16" ht="14.25" customHeight="1" x14ac:dyDescent="0.3">
      <c r="C172" s="1"/>
      <c r="D172" s="118"/>
      <c r="E172" s="1"/>
      <c r="F172" s="120"/>
      <c r="G172" s="118"/>
      <c r="H172" s="120"/>
      <c r="I172" s="218"/>
    </row>
    <row r="173" spans="3:16" ht="14.25" customHeight="1" x14ac:dyDescent="0.3">
      <c r="C173" s="1"/>
      <c r="D173" s="118"/>
      <c r="E173" s="1"/>
      <c r="F173" s="120"/>
      <c r="G173" s="118"/>
      <c r="H173" s="120"/>
      <c r="I173" s="218"/>
    </row>
    <row r="174" spans="3:16" ht="14.25" customHeight="1" x14ac:dyDescent="0.3">
      <c r="C174" s="1"/>
      <c r="D174" s="118"/>
      <c r="E174" s="1"/>
      <c r="F174" s="120"/>
      <c r="G174" s="118"/>
      <c r="H174" s="120"/>
      <c r="I174" s="218"/>
    </row>
    <row r="175" spans="3:16" ht="14.25" customHeight="1" x14ac:dyDescent="0.3">
      <c r="C175" s="1"/>
      <c r="D175" s="118"/>
      <c r="E175" s="1"/>
      <c r="F175" s="120"/>
      <c r="G175" s="118"/>
      <c r="H175" s="120"/>
      <c r="I175" s="218"/>
    </row>
    <row r="176" spans="3:16" ht="14.25" customHeight="1" x14ac:dyDescent="0.3">
      <c r="C176" s="1"/>
      <c r="D176" s="118"/>
      <c r="E176" s="1"/>
      <c r="F176" s="120"/>
      <c r="G176" s="118"/>
      <c r="H176" s="120"/>
      <c r="I176" s="218"/>
    </row>
    <row r="177" spans="3:9" ht="14.25" customHeight="1" x14ac:dyDescent="0.3">
      <c r="C177" s="1"/>
      <c r="D177" s="118"/>
      <c r="E177" s="1"/>
      <c r="F177" s="120"/>
      <c r="G177" s="118"/>
      <c r="H177" s="120"/>
      <c r="I177" s="218"/>
    </row>
    <row r="178" spans="3:9" ht="14.25" customHeight="1" x14ac:dyDescent="0.3">
      <c r="C178" s="1"/>
      <c r="D178" s="118"/>
      <c r="E178" s="1"/>
      <c r="F178" s="120"/>
      <c r="G178" s="118"/>
      <c r="H178" s="120"/>
      <c r="I178" s="218"/>
    </row>
    <row r="179" spans="3:9" ht="14.25" customHeight="1" x14ac:dyDescent="0.3">
      <c r="C179" s="1"/>
      <c r="D179" s="118"/>
      <c r="E179" s="1"/>
      <c r="F179" s="120"/>
      <c r="G179" s="118"/>
      <c r="H179" s="120"/>
      <c r="I179" s="218"/>
    </row>
    <row r="180" spans="3:9" ht="14.25" customHeight="1" x14ac:dyDescent="0.3">
      <c r="C180" s="1"/>
      <c r="D180" s="118"/>
      <c r="E180" s="1"/>
      <c r="F180" s="120"/>
      <c r="G180" s="118"/>
      <c r="H180" s="120"/>
      <c r="I180" s="218"/>
    </row>
    <row r="181" spans="3:9" ht="14.25" customHeight="1" x14ac:dyDescent="0.3">
      <c r="C181" s="1"/>
      <c r="D181" s="118"/>
      <c r="E181" s="1"/>
      <c r="F181" s="120"/>
      <c r="G181" s="118"/>
      <c r="H181" s="120"/>
      <c r="I181" s="218"/>
    </row>
    <row r="182" spans="3:9" ht="14.25" customHeight="1" x14ac:dyDescent="0.3">
      <c r="C182" s="1"/>
      <c r="D182" s="118"/>
      <c r="E182" s="1"/>
      <c r="F182" s="120"/>
      <c r="G182" s="118"/>
      <c r="H182" s="120"/>
      <c r="I182" s="218"/>
    </row>
    <row r="183" spans="3:9" ht="14.25" customHeight="1" x14ac:dyDescent="0.3">
      <c r="C183" s="1"/>
      <c r="D183" s="118"/>
      <c r="E183" s="1"/>
      <c r="F183" s="120"/>
      <c r="G183" s="118"/>
      <c r="H183" s="120"/>
      <c r="I183" s="218"/>
    </row>
    <row r="184" spans="3:9" ht="14.25" customHeight="1" x14ac:dyDescent="0.3">
      <c r="C184" s="1"/>
      <c r="D184" s="118"/>
      <c r="E184" s="1"/>
      <c r="F184" s="120"/>
      <c r="G184" s="118"/>
      <c r="H184" s="120"/>
      <c r="I184" s="218"/>
    </row>
    <row r="185" spans="3:9" ht="14.25" customHeight="1" x14ac:dyDescent="0.3">
      <c r="C185" s="1"/>
      <c r="D185" s="118"/>
      <c r="E185" s="1"/>
      <c r="F185" s="120"/>
      <c r="G185" s="118"/>
      <c r="H185" s="120"/>
      <c r="I185" s="218"/>
    </row>
    <row r="186" spans="3:9" ht="14.25" customHeight="1" x14ac:dyDescent="0.3">
      <c r="C186" s="1"/>
      <c r="D186" s="118"/>
      <c r="E186" s="1"/>
      <c r="F186" s="120"/>
      <c r="G186" s="118"/>
      <c r="H186" s="120"/>
      <c r="I186" s="218"/>
    </row>
    <row r="187" spans="3:9" ht="14.25" customHeight="1" x14ac:dyDescent="0.3">
      <c r="C187" s="1"/>
      <c r="D187" s="118"/>
      <c r="E187" s="1"/>
      <c r="F187" s="120"/>
      <c r="G187" s="118"/>
      <c r="H187" s="120"/>
      <c r="I187" s="218"/>
    </row>
    <row r="188" spans="3:9" ht="14.25" customHeight="1" x14ac:dyDescent="0.3">
      <c r="C188" s="1"/>
      <c r="D188" s="118"/>
      <c r="E188" s="1"/>
      <c r="F188" s="120"/>
      <c r="G188" s="118"/>
      <c r="H188" s="120"/>
      <c r="I188" s="218"/>
    </row>
    <row r="189" spans="3:9" ht="14.25" customHeight="1" x14ac:dyDescent="0.3">
      <c r="C189" s="1"/>
      <c r="D189" s="118"/>
      <c r="E189" s="1"/>
      <c r="F189" s="120"/>
      <c r="G189" s="118"/>
      <c r="H189" s="120"/>
      <c r="I189" s="218"/>
    </row>
    <row r="190" spans="3:9" ht="14.25" customHeight="1" x14ac:dyDescent="0.3">
      <c r="C190" s="1"/>
      <c r="D190" s="118"/>
      <c r="E190" s="1"/>
      <c r="F190" s="120"/>
      <c r="G190" s="118"/>
      <c r="H190" s="120"/>
      <c r="I190" s="218"/>
    </row>
    <row r="191" spans="3:9" ht="14.25" customHeight="1" x14ac:dyDescent="0.3">
      <c r="C191" s="1"/>
      <c r="D191" s="118"/>
      <c r="E191" s="1"/>
      <c r="F191" s="120"/>
      <c r="G191" s="118"/>
      <c r="H191" s="120"/>
      <c r="I191" s="218"/>
    </row>
    <row r="192" spans="3:9" ht="14.25" customHeight="1" x14ac:dyDescent="0.3">
      <c r="C192" s="1"/>
      <c r="D192" s="118"/>
      <c r="E192" s="1"/>
      <c r="F192" s="120"/>
      <c r="G192" s="118"/>
      <c r="H192" s="120"/>
      <c r="I192" s="218"/>
    </row>
    <row r="193" spans="3:9" ht="14.25" customHeight="1" x14ac:dyDescent="0.3">
      <c r="C193" s="1"/>
      <c r="D193" s="118"/>
      <c r="E193" s="1"/>
      <c r="F193" s="120"/>
      <c r="G193" s="118"/>
      <c r="H193" s="120"/>
      <c r="I193" s="218"/>
    </row>
    <row r="194" spans="3:9" ht="14.25" customHeight="1" x14ac:dyDescent="0.3">
      <c r="C194" s="1"/>
      <c r="D194" s="118"/>
      <c r="E194" s="1"/>
      <c r="F194" s="120"/>
      <c r="G194" s="118"/>
      <c r="H194" s="120"/>
      <c r="I194" s="218"/>
    </row>
    <row r="195" spans="3:9" ht="14.25" customHeight="1" x14ac:dyDescent="0.3">
      <c r="C195" s="1"/>
      <c r="D195" s="118"/>
      <c r="E195" s="1"/>
      <c r="F195" s="120"/>
      <c r="G195" s="118"/>
      <c r="H195" s="120"/>
      <c r="I195" s="218"/>
    </row>
    <row r="196" spans="3:9" ht="14.25" customHeight="1" x14ac:dyDescent="0.3">
      <c r="C196" s="1"/>
      <c r="D196" s="118"/>
      <c r="E196" s="1"/>
      <c r="F196" s="120"/>
      <c r="G196" s="118"/>
      <c r="H196" s="120"/>
      <c r="I196" s="218"/>
    </row>
    <row r="197" spans="3:9" ht="14.25" customHeight="1" x14ac:dyDescent="0.3">
      <c r="C197" s="1"/>
      <c r="D197" s="118"/>
      <c r="E197" s="1"/>
      <c r="F197" s="120"/>
      <c r="G197" s="118"/>
      <c r="H197" s="120"/>
      <c r="I197" s="218"/>
    </row>
    <row r="198" spans="3:9" ht="14.25" customHeight="1" x14ac:dyDescent="0.3">
      <c r="C198" s="1"/>
      <c r="D198" s="118"/>
      <c r="E198" s="1"/>
      <c r="F198" s="120"/>
      <c r="G198" s="118"/>
      <c r="H198" s="120"/>
      <c r="I198" s="218"/>
    </row>
    <row r="199" spans="3:9" ht="14.25" customHeight="1" x14ac:dyDescent="0.3">
      <c r="C199" s="1"/>
      <c r="D199" s="118"/>
      <c r="E199" s="1"/>
      <c r="F199" s="120"/>
      <c r="G199" s="118"/>
      <c r="H199" s="120"/>
      <c r="I199" s="218"/>
    </row>
    <row r="200" spans="3:9" ht="14.25" customHeight="1" x14ac:dyDescent="0.3">
      <c r="C200" s="1"/>
      <c r="D200" s="118"/>
      <c r="E200" s="1"/>
      <c r="F200" s="120"/>
      <c r="G200" s="118"/>
      <c r="H200" s="120"/>
      <c r="I200" s="218"/>
    </row>
    <row r="201" spans="3:9" ht="14.25" customHeight="1" x14ac:dyDescent="0.3">
      <c r="C201" s="1"/>
      <c r="D201" s="118"/>
      <c r="E201" s="1"/>
      <c r="F201" s="120"/>
      <c r="G201" s="118"/>
      <c r="H201" s="120"/>
      <c r="I201" s="218"/>
    </row>
    <row r="202" spans="3:9" ht="14.25" customHeight="1" x14ac:dyDescent="0.3">
      <c r="C202" s="1"/>
      <c r="D202" s="118"/>
      <c r="E202" s="1"/>
      <c r="F202" s="120"/>
      <c r="G202" s="118"/>
      <c r="H202" s="120"/>
      <c r="I202" s="218"/>
    </row>
    <row r="203" spans="3:9" ht="14.25" customHeight="1" x14ac:dyDescent="0.3">
      <c r="C203" s="1"/>
      <c r="D203" s="118"/>
      <c r="E203" s="1"/>
      <c r="F203" s="120"/>
      <c r="G203" s="118"/>
      <c r="H203" s="120"/>
      <c r="I203" s="218"/>
    </row>
    <row r="204" spans="3:9" ht="14.25" customHeight="1" x14ac:dyDescent="0.3">
      <c r="C204" s="1"/>
      <c r="D204" s="118"/>
      <c r="E204" s="1"/>
      <c r="F204" s="120"/>
      <c r="G204" s="118"/>
      <c r="H204" s="120"/>
      <c r="I204" s="218"/>
    </row>
    <row r="205" spans="3:9" ht="14.25" customHeight="1" x14ac:dyDescent="0.3">
      <c r="C205" s="1"/>
      <c r="D205" s="118"/>
      <c r="E205" s="1"/>
      <c r="F205" s="120"/>
      <c r="G205" s="118"/>
      <c r="H205" s="120"/>
      <c r="I205" s="218"/>
    </row>
    <row r="206" spans="3:9" ht="14.25" customHeight="1" x14ac:dyDescent="0.3">
      <c r="C206" s="1"/>
      <c r="D206" s="118"/>
      <c r="E206" s="1"/>
      <c r="F206" s="120"/>
      <c r="G206" s="118"/>
      <c r="H206" s="120"/>
      <c r="I206" s="218"/>
    </row>
    <row r="207" spans="3:9" ht="14.25" customHeight="1" x14ac:dyDescent="0.3">
      <c r="C207" s="1"/>
      <c r="D207" s="118"/>
      <c r="E207" s="1"/>
      <c r="F207" s="120"/>
      <c r="G207" s="118"/>
      <c r="H207" s="120"/>
      <c r="I207" s="218"/>
    </row>
    <row r="208" spans="3:9" ht="14.25" customHeight="1" x14ac:dyDescent="0.3">
      <c r="C208" s="1"/>
      <c r="D208" s="118"/>
      <c r="E208" s="1"/>
      <c r="F208" s="120"/>
      <c r="G208" s="118"/>
      <c r="H208" s="120"/>
      <c r="I208" s="218"/>
    </row>
    <row r="209" spans="3:9" ht="14.25" customHeight="1" x14ac:dyDescent="0.3">
      <c r="C209" s="1"/>
      <c r="D209" s="118"/>
      <c r="E209" s="1"/>
      <c r="F209" s="120"/>
      <c r="G209" s="118"/>
      <c r="H209" s="120"/>
      <c r="I209" s="218"/>
    </row>
    <row r="210" spans="3:9" ht="14.25" customHeight="1" x14ac:dyDescent="0.3">
      <c r="C210" s="1"/>
      <c r="D210" s="118"/>
      <c r="E210" s="1"/>
      <c r="F210" s="120"/>
      <c r="G210" s="118"/>
      <c r="H210" s="120"/>
      <c r="I210" s="218"/>
    </row>
    <row r="211" spans="3:9" ht="14.25" customHeight="1" x14ac:dyDescent="0.3">
      <c r="C211" s="1"/>
      <c r="D211" s="118"/>
      <c r="E211" s="1"/>
      <c r="F211" s="120"/>
      <c r="G211" s="118"/>
      <c r="H211" s="120"/>
      <c r="I211" s="218"/>
    </row>
    <row r="212" spans="3:9" ht="14.25" customHeight="1" x14ac:dyDescent="0.3">
      <c r="C212" s="1"/>
      <c r="D212" s="118"/>
      <c r="E212" s="1"/>
      <c r="F212" s="120"/>
      <c r="G212" s="118"/>
      <c r="H212" s="120"/>
      <c r="I212" s="218"/>
    </row>
    <row r="213" spans="3:9" ht="14.25" customHeight="1" x14ac:dyDescent="0.3">
      <c r="C213" s="1"/>
      <c r="D213" s="118"/>
      <c r="E213" s="1"/>
      <c r="F213" s="120"/>
      <c r="G213" s="118"/>
      <c r="H213" s="120"/>
      <c r="I213" s="218"/>
    </row>
    <row r="214" spans="3:9" ht="14.25" customHeight="1" x14ac:dyDescent="0.3">
      <c r="C214" s="1"/>
      <c r="D214" s="118"/>
      <c r="E214" s="1"/>
      <c r="F214" s="120"/>
      <c r="G214" s="118"/>
      <c r="H214" s="120"/>
      <c r="I214" s="218"/>
    </row>
    <row r="215" spans="3:9" ht="14.25" customHeight="1" x14ac:dyDescent="0.3">
      <c r="C215" s="1"/>
      <c r="D215" s="118"/>
      <c r="E215" s="1"/>
      <c r="F215" s="120"/>
      <c r="G215" s="118"/>
      <c r="H215" s="120"/>
      <c r="I215" s="218"/>
    </row>
    <row r="216" spans="3:9" ht="14.25" customHeight="1" x14ac:dyDescent="0.3">
      <c r="C216" s="1"/>
      <c r="D216" s="118"/>
      <c r="E216" s="1"/>
      <c r="F216" s="120"/>
      <c r="G216" s="118"/>
      <c r="H216" s="120"/>
      <c r="I216" s="218"/>
    </row>
    <row r="217" spans="3:9" ht="14.25" customHeight="1" x14ac:dyDescent="0.3">
      <c r="C217" s="1"/>
      <c r="D217" s="118"/>
      <c r="E217" s="1"/>
      <c r="F217" s="120"/>
      <c r="G217" s="118"/>
      <c r="H217" s="120"/>
      <c r="I217" s="218"/>
    </row>
    <row r="218" spans="3:9" ht="14.25" customHeight="1" x14ac:dyDescent="0.3">
      <c r="C218" s="1"/>
      <c r="D218" s="118"/>
      <c r="E218" s="1"/>
      <c r="F218" s="120"/>
      <c r="G218" s="118"/>
      <c r="H218" s="120"/>
      <c r="I218" s="218"/>
    </row>
    <row r="219" spans="3:9" ht="14.25" customHeight="1" x14ac:dyDescent="0.3">
      <c r="C219" s="1"/>
      <c r="D219" s="118"/>
      <c r="E219" s="1"/>
      <c r="F219" s="120"/>
      <c r="G219" s="118"/>
      <c r="H219" s="120"/>
      <c r="I219" s="218"/>
    </row>
    <row r="220" spans="3:9" ht="14.25" customHeight="1" x14ac:dyDescent="0.3">
      <c r="C220" s="1"/>
      <c r="D220" s="118"/>
      <c r="E220" s="1"/>
      <c r="F220" s="120"/>
      <c r="G220" s="118"/>
      <c r="H220" s="120"/>
      <c r="I220" s="218"/>
    </row>
    <row r="221" spans="3:9" ht="14.25" customHeight="1" x14ac:dyDescent="0.3">
      <c r="C221" s="1"/>
      <c r="D221" s="118"/>
      <c r="E221" s="1"/>
      <c r="F221" s="120"/>
      <c r="G221" s="118"/>
      <c r="H221" s="120"/>
      <c r="I221" s="218"/>
    </row>
    <row r="222" spans="3:9" ht="14.25" customHeight="1" x14ac:dyDescent="0.3">
      <c r="C222" s="1"/>
      <c r="D222" s="118"/>
      <c r="E222" s="1"/>
      <c r="F222" s="120"/>
      <c r="G222" s="118"/>
      <c r="H222" s="120"/>
      <c r="I222" s="218"/>
    </row>
    <row r="223" spans="3:9" ht="14.25" customHeight="1" x14ac:dyDescent="0.3">
      <c r="C223" s="1"/>
      <c r="D223" s="118"/>
      <c r="E223" s="1"/>
      <c r="F223" s="120"/>
      <c r="G223" s="118"/>
      <c r="H223" s="120"/>
      <c r="I223" s="218"/>
    </row>
    <row r="224" spans="3:9" ht="14.25" customHeight="1" x14ac:dyDescent="0.3">
      <c r="C224" s="1"/>
      <c r="D224" s="118"/>
      <c r="E224" s="1"/>
      <c r="F224" s="120"/>
      <c r="G224" s="118"/>
      <c r="H224" s="120"/>
      <c r="I224" s="218"/>
    </row>
    <row r="225" spans="3:9" ht="14.25" customHeight="1" x14ac:dyDescent="0.3">
      <c r="C225" s="1"/>
      <c r="D225" s="118"/>
      <c r="E225" s="1"/>
      <c r="F225" s="120"/>
      <c r="G225" s="118"/>
      <c r="H225" s="120"/>
      <c r="I225" s="218"/>
    </row>
    <row r="226" spans="3:9" ht="14.25" customHeight="1" x14ac:dyDescent="0.3">
      <c r="C226" s="1"/>
      <c r="D226" s="118"/>
      <c r="E226" s="1"/>
      <c r="F226" s="120"/>
      <c r="G226" s="118"/>
      <c r="H226" s="120"/>
      <c r="I226" s="218"/>
    </row>
    <row r="227" spans="3:9" ht="14.25" customHeight="1" x14ac:dyDescent="0.3">
      <c r="C227" s="1"/>
      <c r="D227" s="118"/>
      <c r="E227" s="1"/>
      <c r="F227" s="120"/>
      <c r="G227" s="118"/>
      <c r="H227" s="120"/>
      <c r="I227" s="218"/>
    </row>
    <row r="228" spans="3:9" ht="14.25" customHeight="1" x14ac:dyDescent="0.3">
      <c r="C228" s="1"/>
      <c r="D228" s="118"/>
      <c r="E228" s="1"/>
      <c r="F228" s="120"/>
      <c r="G228" s="118"/>
      <c r="H228" s="120"/>
      <c r="I228" s="218"/>
    </row>
    <row r="229" spans="3:9" ht="14.25" customHeight="1" x14ac:dyDescent="0.3">
      <c r="C229" s="1"/>
      <c r="D229" s="118"/>
      <c r="E229" s="1"/>
      <c r="F229" s="120"/>
      <c r="G229" s="118"/>
      <c r="H229" s="120"/>
      <c r="I229" s="218"/>
    </row>
    <row r="230" spans="3:9" ht="14.25" customHeight="1" x14ac:dyDescent="0.3">
      <c r="C230" s="1"/>
      <c r="D230" s="118"/>
      <c r="E230" s="1"/>
      <c r="F230" s="120"/>
      <c r="G230" s="118"/>
      <c r="H230" s="120"/>
      <c r="I230" s="218"/>
    </row>
    <row r="231" spans="3:9" ht="14.25" customHeight="1" x14ac:dyDescent="0.3">
      <c r="C231" s="1"/>
      <c r="D231" s="118"/>
      <c r="E231" s="1"/>
      <c r="F231" s="120"/>
      <c r="G231" s="118"/>
      <c r="H231" s="120"/>
      <c r="I231" s="218"/>
    </row>
    <row r="232" spans="3:9" ht="14.25" customHeight="1" x14ac:dyDescent="0.3">
      <c r="C232" s="1"/>
      <c r="D232" s="118"/>
      <c r="E232" s="1"/>
      <c r="F232" s="120"/>
      <c r="G232" s="118"/>
      <c r="H232" s="120"/>
      <c r="I232" s="218"/>
    </row>
    <row r="233" spans="3:9" ht="14.25" customHeight="1" x14ac:dyDescent="0.3">
      <c r="C233" s="1"/>
      <c r="D233" s="118"/>
      <c r="E233" s="1"/>
      <c r="F233" s="120"/>
      <c r="G233" s="118"/>
      <c r="H233" s="120"/>
      <c r="I233" s="218"/>
    </row>
    <row r="234" spans="3:9" ht="14.25" customHeight="1" x14ac:dyDescent="0.3">
      <c r="C234" s="1"/>
      <c r="D234" s="118"/>
      <c r="E234" s="1"/>
      <c r="F234" s="120"/>
      <c r="G234" s="118"/>
      <c r="H234" s="120"/>
      <c r="I234" s="218"/>
    </row>
    <row r="235" spans="3:9" ht="14.25" customHeight="1" x14ac:dyDescent="0.3">
      <c r="C235" s="1"/>
      <c r="D235" s="118"/>
      <c r="E235" s="1"/>
      <c r="F235" s="120"/>
      <c r="G235" s="118"/>
      <c r="H235" s="120"/>
      <c r="I235" s="218"/>
    </row>
    <row r="236" spans="3:9" ht="14.25" customHeight="1" x14ac:dyDescent="0.3">
      <c r="C236" s="1"/>
      <c r="D236" s="118"/>
      <c r="E236" s="1"/>
      <c r="F236" s="120"/>
      <c r="G236" s="118"/>
      <c r="H236" s="120"/>
      <c r="I236" s="218"/>
    </row>
    <row r="237" spans="3:9" ht="14.25" customHeight="1" x14ac:dyDescent="0.3">
      <c r="C237" s="1"/>
      <c r="D237" s="118"/>
      <c r="E237" s="1"/>
      <c r="F237" s="120"/>
      <c r="G237" s="118"/>
      <c r="H237" s="120"/>
      <c r="I237" s="218"/>
    </row>
    <row r="238" spans="3:9" ht="14.25" customHeight="1" x14ac:dyDescent="0.3">
      <c r="C238" s="1"/>
      <c r="D238" s="118"/>
      <c r="E238" s="1"/>
      <c r="F238" s="120"/>
      <c r="G238" s="118"/>
      <c r="H238" s="120"/>
      <c r="I238" s="218"/>
    </row>
    <row r="239" spans="3:9" ht="14.25" customHeight="1" x14ac:dyDescent="0.3">
      <c r="C239" s="1"/>
      <c r="D239" s="118"/>
      <c r="E239" s="1"/>
      <c r="F239" s="120"/>
      <c r="G239" s="118"/>
      <c r="H239" s="120"/>
      <c r="I239" s="218"/>
    </row>
    <row r="240" spans="3:9" ht="14.25" customHeight="1" x14ac:dyDescent="0.3">
      <c r="C240" s="1"/>
      <c r="D240" s="118"/>
      <c r="E240" s="1"/>
      <c r="F240" s="120"/>
      <c r="G240" s="118"/>
      <c r="H240" s="120"/>
      <c r="I240" s="218"/>
    </row>
    <row r="241" spans="3:9" ht="14.25" customHeight="1" x14ac:dyDescent="0.3">
      <c r="C241" s="1"/>
      <c r="D241" s="118"/>
      <c r="E241" s="1"/>
      <c r="F241" s="120"/>
      <c r="G241" s="118"/>
      <c r="H241" s="120"/>
      <c r="I241" s="218"/>
    </row>
    <row r="242" spans="3:9" ht="14.25" customHeight="1" x14ac:dyDescent="0.3">
      <c r="C242" s="1"/>
      <c r="D242" s="118"/>
      <c r="E242" s="1"/>
      <c r="F242" s="120"/>
      <c r="G242" s="118"/>
      <c r="H242" s="120"/>
      <c r="I242" s="218"/>
    </row>
    <row r="243" spans="3:9" ht="14.25" customHeight="1" x14ac:dyDescent="0.3">
      <c r="C243" s="1"/>
      <c r="D243" s="118"/>
      <c r="E243" s="1"/>
      <c r="F243" s="120"/>
      <c r="G243" s="118"/>
      <c r="H243" s="120"/>
      <c r="I243" s="218"/>
    </row>
    <row r="244" spans="3:9" ht="14.25" customHeight="1" x14ac:dyDescent="0.3">
      <c r="C244" s="1"/>
      <c r="D244" s="118"/>
      <c r="E244" s="1"/>
      <c r="F244" s="120"/>
      <c r="G244" s="118"/>
      <c r="H244" s="120"/>
      <c r="I244" s="218"/>
    </row>
    <row r="245" spans="3:9" ht="14.25" customHeight="1" x14ac:dyDescent="0.3">
      <c r="C245" s="1"/>
      <c r="D245" s="118"/>
      <c r="E245" s="1"/>
      <c r="F245" s="120"/>
      <c r="G245" s="118"/>
      <c r="H245" s="120"/>
      <c r="I245" s="218"/>
    </row>
    <row r="246" spans="3:9" ht="14.25" customHeight="1" x14ac:dyDescent="0.3">
      <c r="C246" s="1"/>
      <c r="D246" s="118"/>
      <c r="E246" s="1"/>
      <c r="F246" s="120"/>
      <c r="G246" s="118"/>
      <c r="H246" s="120"/>
      <c r="I246" s="218"/>
    </row>
    <row r="247" spans="3:9" ht="14.25" customHeight="1" x14ac:dyDescent="0.3">
      <c r="C247" s="1"/>
      <c r="D247" s="118"/>
      <c r="E247" s="1"/>
      <c r="F247" s="120"/>
      <c r="G247" s="118"/>
      <c r="H247" s="120"/>
      <c r="I247" s="218"/>
    </row>
    <row r="248" spans="3:9" ht="14.25" customHeight="1" x14ac:dyDescent="0.3">
      <c r="C248" s="1"/>
      <c r="D248" s="118"/>
      <c r="E248" s="1"/>
      <c r="F248" s="120"/>
      <c r="G248" s="118"/>
      <c r="H248" s="120"/>
      <c r="I248" s="218"/>
    </row>
    <row r="249" spans="3:9" ht="14.25" customHeight="1" x14ac:dyDescent="0.3">
      <c r="C249" s="1"/>
      <c r="D249" s="118"/>
      <c r="E249" s="1"/>
      <c r="F249" s="120"/>
      <c r="G249" s="118"/>
      <c r="H249" s="120"/>
      <c r="I249" s="218"/>
    </row>
    <row r="250" spans="3:9" ht="14.25" customHeight="1" x14ac:dyDescent="0.3">
      <c r="C250" s="1"/>
      <c r="D250" s="118"/>
      <c r="E250" s="1"/>
      <c r="F250" s="120"/>
      <c r="G250" s="118"/>
      <c r="H250" s="120"/>
      <c r="I250" s="218"/>
    </row>
    <row r="251" spans="3:9" ht="14.25" customHeight="1" x14ac:dyDescent="0.3">
      <c r="C251" s="1"/>
      <c r="D251" s="118"/>
      <c r="E251" s="1"/>
      <c r="F251" s="120"/>
      <c r="G251" s="118"/>
      <c r="H251" s="120"/>
      <c r="I251" s="218"/>
    </row>
    <row r="252" spans="3:9" ht="14.25" customHeight="1" x14ac:dyDescent="0.3">
      <c r="C252" s="1"/>
      <c r="D252" s="118"/>
      <c r="E252" s="1"/>
      <c r="F252" s="120"/>
      <c r="G252" s="118"/>
      <c r="H252" s="120"/>
      <c r="I252" s="218"/>
    </row>
    <row r="253" spans="3:9" ht="14.25" customHeight="1" x14ac:dyDescent="0.3">
      <c r="C253" s="1"/>
      <c r="D253" s="118"/>
      <c r="E253" s="1"/>
      <c r="F253" s="120"/>
      <c r="G253" s="118"/>
      <c r="H253" s="120"/>
      <c r="I253" s="218"/>
    </row>
    <row r="254" spans="3:9" ht="14.25" customHeight="1" x14ac:dyDescent="0.3">
      <c r="C254" s="1"/>
      <c r="D254" s="118"/>
      <c r="E254" s="1"/>
      <c r="F254" s="120"/>
      <c r="G254" s="118"/>
      <c r="H254" s="120"/>
      <c r="I254" s="218"/>
    </row>
    <row r="255" spans="3:9" ht="14.25" customHeight="1" x14ac:dyDescent="0.3">
      <c r="C255" s="1"/>
      <c r="D255" s="118"/>
      <c r="E255" s="1"/>
      <c r="F255" s="120"/>
      <c r="G255" s="118"/>
      <c r="H255" s="120"/>
      <c r="I255" s="218"/>
    </row>
    <row r="256" spans="3:9" ht="14.25" customHeight="1" x14ac:dyDescent="0.3">
      <c r="C256" s="1"/>
      <c r="D256" s="118"/>
      <c r="E256" s="1"/>
      <c r="F256" s="120"/>
      <c r="G256" s="118"/>
      <c r="H256" s="120"/>
      <c r="I256" s="218"/>
    </row>
    <row r="257" spans="3:9" ht="14.25" customHeight="1" x14ac:dyDescent="0.3">
      <c r="C257" s="1"/>
      <c r="D257" s="118"/>
      <c r="E257" s="1"/>
      <c r="F257" s="120"/>
      <c r="G257" s="118"/>
      <c r="H257" s="120"/>
      <c r="I257" s="218"/>
    </row>
    <row r="258" spans="3:9" ht="14.25" customHeight="1" x14ac:dyDescent="0.3">
      <c r="C258" s="1"/>
      <c r="D258" s="118"/>
      <c r="E258" s="1"/>
      <c r="F258" s="120"/>
      <c r="G258" s="118"/>
      <c r="H258" s="120"/>
      <c r="I258" s="218"/>
    </row>
    <row r="259" spans="3:9" ht="14.25" customHeight="1" x14ac:dyDescent="0.3">
      <c r="C259" s="1"/>
      <c r="D259" s="118"/>
      <c r="E259" s="1"/>
      <c r="F259" s="120"/>
      <c r="G259" s="118"/>
      <c r="H259" s="120"/>
      <c r="I259" s="218"/>
    </row>
    <row r="260" spans="3:9" ht="14.25" customHeight="1" x14ac:dyDescent="0.3">
      <c r="C260" s="1"/>
      <c r="D260" s="118"/>
      <c r="E260" s="1"/>
      <c r="F260" s="120"/>
      <c r="G260" s="118"/>
      <c r="H260" s="120"/>
      <c r="I260" s="218"/>
    </row>
    <row r="261" spans="3:9" ht="14.25" customHeight="1" x14ac:dyDescent="0.3">
      <c r="C261" s="1"/>
      <c r="D261" s="118"/>
      <c r="E261" s="1"/>
      <c r="F261" s="120"/>
      <c r="G261" s="118"/>
      <c r="H261" s="120"/>
      <c r="I261" s="218"/>
    </row>
    <row r="262" spans="3:9" ht="14.25" customHeight="1" x14ac:dyDescent="0.3">
      <c r="C262" s="1"/>
      <c r="D262" s="118"/>
      <c r="E262" s="1"/>
      <c r="F262" s="120"/>
      <c r="G262" s="118"/>
      <c r="H262" s="120"/>
      <c r="I262" s="218"/>
    </row>
    <row r="263" spans="3:9" ht="14.25" customHeight="1" x14ac:dyDescent="0.3">
      <c r="C263" s="1"/>
      <c r="D263" s="118"/>
      <c r="E263" s="1"/>
      <c r="F263" s="120"/>
      <c r="G263" s="118"/>
      <c r="H263" s="120"/>
      <c r="I263" s="218"/>
    </row>
    <row r="264" spans="3:9" ht="14.25" customHeight="1" x14ac:dyDescent="0.3">
      <c r="C264" s="1"/>
      <c r="D264" s="118"/>
      <c r="E264" s="1"/>
      <c r="F264" s="120"/>
      <c r="G264" s="118"/>
      <c r="H264" s="120"/>
      <c r="I264" s="218"/>
    </row>
    <row r="265" spans="3:9" ht="14.25" customHeight="1" x14ac:dyDescent="0.3">
      <c r="C265" s="1"/>
      <c r="D265" s="118"/>
      <c r="E265" s="1"/>
      <c r="F265" s="120"/>
      <c r="G265" s="118"/>
      <c r="H265" s="120"/>
      <c r="I265" s="218"/>
    </row>
    <row r="266" spans="3:9" ht="14.25" customHeight="1" x14ac:dyDescent="0.3">
      <c r="C266" s="1"/>
      <c r="D266" s="118"/>
      <c r="E266" s="1"/>
      <c r="F266" s="120"/>
      <c r="G266" s="118"/>
      <c r="H266" s="120"/>
      <c r="I266" s="218"/>
    </row>
    <row r="267" spans="3:9" ht="14.25" customHeight="1" x14ac:dyDescent="0.3">
      <c r="C267" s="1"/>
      <c r="D267" s="118"/>
      <c r="E267" s="1"/>
      <c r="F267" s="120"/>
      <c r="G267" s="118"/>
      <c r="H267" s="120"/>
      <c r="I267" s="218"/>
    </row>
    <row r="268" spans="3:9" ht="14.25" customHeight="1" x14ac:dyDescent="0.3">
      <c r="C268" s="1"/>
      <c r="D268" s="118"/>
      <c r="E268" s="1"/>
      <c r="F268" s="120"/>
      <c r="G268" s="118"/>
      <c r="H268" s="120"/>
      <c r="I268" s="218"/>
    </row>
    <row r="269" spans="3:9" ht="14.25" customHeight="1" x14ac:dyDescent="0.3">
      <c r="C269" s="1"/>
      <c r="D269" s="118"/>
      <c r="E269" s="1"/>
      <c r="F269" s="120"/>
      <c r="G269" s="118"/>
      <c r="H269" s="120"/>
      <c r="I269" s="218"/>
    </row>
    <row r="270" spans="3:9" ht="14.25" customHeight="1" x14ac:dyDescent="0.3">
      <c r="C270" s="1"/>
      <c r="D270" s="118"/>
      <c r="E270" s="1"/>
      <c r="F270" s="120"/>
      <c r="G270" s="118"/>
      <c r="H270" s="120"/>
      <c r="I270" s="218"/>
    </row>
    <row r="271" spans="3:9" ht="14.25" customHeight="1" x14ac:dyDescent="0.3">
      <c r="C271" s="1"/>
      <c r="D271" s="118"/>
      <c r="E271" s="1"/>
      <c r="F271" s="120"/>
      <c r="G271" s="118"/>
      <c r="H271" s="120"/>
      <c r="I271" s="218"/>
    </row>
    <row r="272" spans="3:9" ht="14.25" customHeight="1" x14ac:dyDescent="0.3">
      <c r="C272" s="1"/>
      <c r="D272" s="118"/>
      <c r="E272" s="1"/>
      <c r="F272" s="120"/>
      <c r="G272" s="118"/>
      <c r="H272" s="120"/>
      <c r="I272" s="218"/>
    </row>
    <row r="273" spans="3:9" ht="14.25" customHeight="1" x14ac:dyDescent="0.3">
      <c r="C273" s="1"/>
      <c r="D273" s="118"/>
      <c r="E273" s="1"/>
      <c r="F273" s="120"/>
      <c r="G273" s="118"/>
      <c r="H273" s="120"/>
      <c r="I273" s="218"/>
    </row>
    <row r="274" spans="3:9" ht="14.25" customHeight="1" x14ac:dyDescent="0.3">
      <c r="C274" s="1"/>
      <c r="D274" s="118"/>
      <c r="E274" s="1"/>
      <c r="F274" s="120"/>
      <c r="G274" s="118"/>
      <c r="H274" s="120"/>
      <c r="I274" s="218"/>
    </row>
    <row r="275" spans="3:9" ht="14.25" customHeight="1" x14ac:dyDescent="0.3">
      <c r="C275" s="1"/>
      <c r="D275" s="118"/>
      <c r="E275" s="1"/>
      <c r="F275" s="120"/>
      <c r="G275" s="118"/>
      <c r="H275" s="120"/>
      <c r="I275" s="218"/>
    </row>
    <row r="276" spans="3:9" ht="14.25" customHeight="1" x14ac:dyDescent="0.3">
      <c r="C276" s="1"/>
      <c r="D276" s="118"/>
      <c r="E276" s="1"/>
      <c r="F276" s="120"/>
      <c r="G276" s="118"/>
      <c r="H276" s="120"/>
      <c r="I276" s="218"/>
    </row>
    <row r="277" spans="3:9" ht="14.25" customHeight="1" x14ac:dyDescent="0.3">
      <c r="C277" s="1"/>
      <c r="D277" s="118"/>
      <c r="E277" s="1"/>
      <c r="F277" s="120"/>
      <c r="G277" s="118"/>
      <c r="H277" s="120"/>
      <c r="I277" s="218"/>
    </row>
    <row r="278" spans="3:9" ht="14.25" customHeight="1" x14ac:dyDescent="0.3">
      <c r="C278" s="1"/>
      <c r="D278" s="118"/>
      <c r="E278" s="1"/>
      <c r="F278" s="120"/>
      <c r="G278" s="118"/>
      <c r="H278" s="120"/>
      <c r="I278" s="218"/>
    </row>
    <row r="279" spans="3:9" ht="14.25" customHeight="1" x14ac:dyDescent="0.3">
      <c r="C279" s="1"/>
      <c r="D279" s="118"/>
      <c r="E279" s="1"/>
      <c r="F279" s="120"/>
      <c r="G279" s="118"/>
      <c r="H279" s="120"/>
      <c r="I279" s="218"/>
    </row>
    <row r="280" spans="3:9" ht="14.25" customHeight="1" x14ac:dyDescent="0.3">
      <c r="C280" s="1"/>
      <c r="D280" s="118"/>
      <c r="E280" s="1"/>
      <c r="F280" s="120"/>
      <c r="G280" s="118"/>
      <c r="H280" s="120"/>
      <c r="I280" s="218"/>
    </row>
    <row r="281" spans="3:9" ht="14.25" customHeight="1" x14ac:dyDescent="0.3">
      <c r="C281" s="1"/>
      <c r="D281" s="118"/>
      <c r="E281" s="1"/>
      <c r="F281" s="120"/>
      <c r="G281" s="118"/>
      <c r="H281" s="120"/>
      <c r="I281" s="218"/>
    </row>
    <row r="282" spans="3:9" ht="14.25" customHeight="1" x14ac:dyDescent="0.3">
      <c r="C282" s="1"/>
      <c r="D282" s="118"/>
      <c r="E282" s="1"/>
      <c r="F282" s="120"/>
      <c r="G282" s="118"/>
      <c r="H282" s="120"/>
      <c r="I282" s="218"/>
    </row>
    <row r="283" spans="3:9" ht="14.25" customHeight="1" x14ac:dyDescent="0.3">
      <c r="C283" s="1"/>
      <c r="D283" s="118"/>
      <c r="E283" s="1"/>
      <c r="F283" s="120"/>
      <c r="G283" s="118"/>
      <c r="H283" s="120"/>
      <c r="I283" s="218"/>
    </row>
    <row r="284" spans="3:9" ht="14.25" customHeight="1" x14ac:dyDescent="0.3">
      <c r="C284" s="1"/>
      <c r="D284" s="118"/>
      <c r="E284" s="1"/>
      <c r="F284" s="120"/>
      <c r="G284" s="118"/>
      <c r="H284" s="120"/>
      <c r="I284" s="218"/>
    </row>
    <row r="285" spans="3:9" ht="14.25" customHeight="1" x14ac:dyDescent="0.3">
      <c r="C285" s="1"/>
      <c r="D285" s="118"/>
      <c r="E285" s="1"/>
      <c r="F285" s="120"/>
      <c r="G285" s="118"/>
      <c r="H285" s="120"/>
      <c r="I285" s="218"/>
    </row>
    <row r="286" spans="3:9" ht="14.25" customHeight="1" x14ac:dyDescent="0.3">
      <c r="C286" s="1"/>
      <c r="D286" s="118"/>
      <c r="E286" s="1"/>
      <c r="F286" s="120"/>
      <c r="G286" s="118"/>
      <c r="H286" s="120"/>
      <c r="I286" s="218"/>
    </row>
    <row r="287" spans="3:9" ht="14.25" customHeight="1" x14ac:dyDescent="0.3">
      <c r="C287" s="1"/>
      <c r="D287" s="118"/>
      <c r="E287" s="1"/>
      <c r="F287" s="120"/>
      <c r="G287" s="118"/>
      <c r="H287" s="120"/>
      <c r="I287" s="218"/>
    </row>
    <row r="288" spans="3:9" ht="14.25" customHeight="1" x14ac:dyDescent="0.3">
      <c r="C288" s="1"/>
      <c r="D288" s="118"/>
      <c r="E288" s="1"/>
      <c r="F288" s="120"/>
      <c r="G288" s="118"/>
      <c r="H288" s="120"/>
      <c r="I288" s="218"/>
    </row>
    <row r="289" spans="3:9" ht="14.25" customHeight="1" x14ac:dyDescent="0.3">
      <c r="C289" s="1"/>
      <c r="D289" s="118"/>
      <c r="E289" s="1"/>
      <c r="F289" s="120"/>
      <c r="G289" s="118"/>
      <c r="H289" s="120"/>
      <c r="I289" s="218"/>
    </row>
    <row r="290" spans="3:9" ht="14.25" customHeight="1" x14ac:dyDescent="0.3">
      <c r="C290" s="1"/>
      <c r="D290" s="118"/>
      <c r="E290" s="1"/>
      <c r="F290" s="120"/>
      <c r="G290" s="118"/>
      <c r="H290" s="120"/>
      <c r="I290" s="218"/>
    </row>
    <row r="291" spans="3:9" ht="14.25" customHeight="1" x14ac:dyDescent="0.3">
      <c r="C291" s="1"/>
      <c r="D291" s="118"/>
      <c r="E291" s="1"/>
      <c r="F291" s="120"/>
      <c r="G291" s="118"/>
      <c r="H291" s="120"/>
      <c r="I291" s="218"/>
    </row>
    <row r="292" spans="3:9" ht="14.25" customHeight="1" x14ac:dyDescent="0.3">
      <c r="C292" s="1"/>
      <c r="D292" s="118"/>
      <c r="E292" s="1"/>
      <c r="F292" s="120"/>
      <c r="G292" s="118"/>
      <c r="H292" s="120"/>
      <c r="I292" s="218"/>
    </row>
    <row r="293" spans="3:9" ht="14.25" customHeight="1" x14ac:dyDescent="0.3">
      <c r="C293" s="1"/>
      <c r="D293" s="118"/>
      <c r="E293" s="1"/>
      <c r="F293" s="120"/>
      <c r="G293" s="118"/>
      <c r="H293" s="120"/>
      <c r="I293" s="218"/>
    </row>
    <row r="294" spans="3:9" ht="14.25" customHeight="1" x14ac:dyDescent="0.3">
      <c r="C294" s="1"/>
      <c r="D294" s="118"/>
      <c r="E294" s="1"/>
      <c r="F294" s="120"/>
      <c r="G294" s="118"/>
      <c r="H294" s="120"/>
      <c r="I294" s="218"/>
    </row>
    <row r="295" spans="3:9" ht="14.25" customHeight="1" x14ac:dyDescent="0.3">
      <c r="C295" s="1"/>
      <c r="D295" s="118"/>
      <c r="E295" s="1"/>
      <c r="F295" s="120"/>
      <c r="G295" s="118"/>
      <c r="H295" s="120"/>
      <c r="I295" s="218"/>
    </row>
    <row r="296" spans="3:9" ht="14.25" customHeight="1" x14ac:dyDescent="0.3">
      <c r="C296" s="1"/>
      <c r="D296" s="118"/>
      <c r="E296" s="1"/>
      <c r="F296" s="120"/>
      <c r="G296" s="118"/>
      <c r="H296" s="120"/>
      <c r="I296" s="218"/>
    </row>
    <row r="297" spans="3:9" ht="14.25" customHeight="1" x14ac:dyDescent="0.3">
      <c r="C297" s="1"/>
      <c r="D297" s="118"/>
      <c r="E297" s="1"/>
      <c r="F297" s="120"/>
      <c r="G297" s="118"/>
      <c r="H297" s="120"/>
      <c r="I297" s="218"/>
    </row>
    <row r="298" spans="3:9" ht="14.25" customHeight="1" x14ac:dyDescent="0.3">
      <c r="C298" s="1"/>
      <c r="D298" s="118"/>
      <c r="E298" s="1"/>
      <c r="F298" s="120"/>
      <c r="G298" s="118"/>
      <c r="H298" s="120"/>
      <c r="I298" s="218"/>
    </row>
    <row r="299" spans="3:9" ht="14.25" customHeight="1" x14ac:dyDescent="0.3">
      <c r="C299" s="1"/>
      <c r="D299" s="118"/>
      <c r="E299" s="1"/>
      <c r="F299" s="120"/>
      <c r="G299" s="118"/>
      <c r="H299" s="120"/>
      <c r="I299" s="218"/>
    </row>
    <row r="300" spans="3:9" ht="14.25" customHeight="1" x14ac:dyDescent="0.3">
      <c r="C300" s="1"/>
      <c r="D300" s="118"/>
      <c r="E300" s="1"/>
      <c r="F300" s="120"/>
      <c r="G300" s="118"/>
      <c r="H300" s="120"/>
      <c r="I300" s="218"/>
    </row>
    <row r="301" spans="3:9" ht="14.25" customHeight="1" x14ac:dyDescent="0.3">
      <c r="C301" s="1"/>
      <c r="D301" s="118"/>
      <c r="E301" s="1"/>
      <c r="F301" s="120"/>
      <c r="G301" s="118"/>
      <c r="H301" s="120"/>
      <c r="I301" s="218"/>
    </row>
    <row r="302" spans="3:9" ht="14.25" customHeight="1" x14ac:dyDescent="0.3">
      <c r="C302" s="1"/>
      <c r="D302" s="118"/>
      <c r="E302" s="1"/>
      <c r="F302" s="120"/>
      <c r="G302" s="118"/>
      <c r="H302" s="120"/>
      <c r="I302" s="218"/>
    </row>
    <row r="303" spans="3:9" ht="14.25" customHeight="1" x14ac:dyDescent="0.3">
      <c r="C303" s="1"/>
      <c r="D303" s="118"/>
      <c r="E303" s="1"/>
      <c r="F303" s="120"/>
      <c r="G303" s="118"/>
      <c r="H303" s="120"/>
      <c r="I303" s="218"/>
    </row>
    <row r="304" spans="3:9" ht="14.25" customHeight="1" x14ac:dyDescent="0.3">
      <c r="C304" s="1"/>
      <c r="D304" s="118"/>
      <c r="E304" s="1"/>
      <c r="F304" s="120"/>
      <c r="G304" s="118"/>
      <c r="H304" s="120"/>
      <c r="I304" s="218"/>
    </row>
    <row r="305" spans="3:9" ht="14.25" customHeight="1" x14ac:dyDescent="0.3">
      <c r="C305" s="1"/>
      <c r="D305" s="118"/>
      <c r="E305" s="1"/>
      <c r="F305" s="120"/>
      <c r="G305" s="118"/>
      <c r="H305" s="120"/>
      <c r="I305" s="218"/>
    </row>
    <row r="306" spans="3:9" ht="14.25" customHeight="1" x14ac:dyDescent="0.3">
      <c r="C306" s="1"/>
      <c r="D306" s="118"/>
      <c r="E306" s="1"/>
      <c r="F306" s="120"/>
      <c r="G306" s="118"/>
      <c r="H306" s="120"/>
      <c r="I306" s="218"/>
    </row>
    <row r="307" spans="3:9" ht="14.25" customHeight="1" x14ac:dyDescent="0.3">
      <c r="C307" s="1"/>
      <c r="D307" s="118"/>
      <c r="E307" s="1"/>
      <c r="F307" s="120"/>
      <c r="G307" s="118"/>
      <c r="H307" s="120"/>
      <c r="I307" s="218"/>
    </row>
    <row r="308" spans="3:9" ht="14.25" customHeight="1" x14ac:dyDescent="0.3">
      <c r="C308" s="1"/>
      <c r="D308" s="118"/>
      <c r="E308" s="1"/>
      <c r="F308" s="120"/>
      <c r="G308" s="118"/>
      <c r="H308" s="120"/>
      <c r="I308" s="218"/>
    </row>
    <row r="309" spans="3:9" ht="14.25" customHeight="1" x14ac:dyDescent="0.3">
      <c r="C309" s="1"/>
      <c r="D309" s="118"/>
      <c r="E309" s="1"/>
      <c r="F309" s="120"/>
      <c r="G309" s="118"/>
      <c r="H309" s="120"/>
      <c r="I309" s="218"/>
    </row>
    <row r="310" spans="3:9" ht="14.25" customHeight="1" x14ac:dyDescent="0.3">
      <c r="C310" s="1"/>
      <c r="D310" s="118"/>
      <c r="E310" s="1"/>
      <c r="F310" s="120"/>
      <c r="G310" s="118"/>
      <c r="H310" s="120"/>
      <c r="I310" s="218"/>
    </row>
    <row r="311" spans="3:9" ht="14.25" customHeight="1" x14ac:dyDescent="0.3">
      <c r="C311" s="1"/>
      <c r="D311" s="118"/>
      <c r="E311" s="1"/>
      <c r="F311" s="120"/>
      <c r="G311" s="118"/>
      <c r="H311" s="120"/>
      <c r="I311" s="218"/>
    </row>
    <row r="312" spans="3:9" ht="14.25" customHeight="1" x14ac:dyDescent="0.3">
      <c r="C312" s="1"/>
      <c r="D312" s="118"/>
      <c r="E312" s="1"/>
      <c r="F312" s="120"/>
      <c r="G312" s="118"/>
      <c r="H312" s="120"/>
      <c r="I312" s="218"/>
    </row>
    <row r="313" spans="3:9" ht="14.25" customHeight="1" x14ac:dyDescent="0.3">
      <c r="C313" s="1"/>
      <c r="D313" s="118"/>
      <c r="E313" s="1"/>
      <c r="F313" s="120"/>
      <c r="G313" s="118"/>
      <c r="H313" s="120"/>
      <c r="I313" s="218"/>
    </row>
    <row r="314" spans="3:9" ht="14.25" customHeight="1" x14ac:dyDescent="0.3">
      <c r="C314" s="1"/>
      <c r="D314" s="118"/>
      <c r="E314" s="1"/>
      <c r="F314" s="120"/>
      <c r="G314" s="118"/>
      <c r="H314" s="120"/>
      <c r="I314" s="218"/>
    </row>
    <row r="315" spans="3:9" ht="14.25" customHeight="1" x14ac:dyDescent="0.3">
      <c r="C315" s="1"/>
      <c r="D315" s="118"/>
      <c r="E315" s="1"/>
      <c r="F315" s="120"/>
      <c r="G315" s="118"/>
      <c r="H315" s="120"/>
      <c r="I315" s="218"/>
    </row>
    <row r="316" spans="3:9" ht="14.25" customHeight="1" x14ac:dyDescent="0.3">
      <c r="C316" s="1"/>
      <c r="D316" s="118"/>
      <c r="E316" s="1"/>
      <c r="F316" s="120"/>
      <c r="G316" s="118"/>
      <c r="H316" s="120"/>
      <c r="I316" s="218"/>
    </row>
    <row r="317" spans="3:9" ht="14.25" customHeight="1" x14ac:dyDescent="0.3">
      <c r="C317" s="1"/>
      <c r="D317" s="118"/>
      <c r="E317" s="1"/>
      <c r="F317" s="120"/>
      <c r="G317" s="118"/>
      <c r="H317" s="120"/>
      <c r="I317" s="218"/>
    </row>
    <row r="318" spans="3:9" ht="14.25" customHeight="1" x14ac:dyDescent="0.3">
      <c r="C318" s="1"/>
      <c r="D318" s="118"/>
      <c r="E318" s="1"/>
      <c r="F318" s="120"/>
      <c r="G318" s="118"/>
      <c r="H318" s="120"/>
      <c r="I318" s="218"/>
    </row>
    <row r="319" spans="3:9" ht="14.25" customHeight="1" x14ac:dyDescent="0.3">
      <c r="C319" s="1"/>
      <c r="D319" s="118"/>
      <c r="E319" s="1"/>
      <c r="F319" s="120"/>
      <c r="G319" s="118"/>
      <c r="H319" s="120"/>
      <c r="I319" s="218"/>
    </row>
    <row r="320" spans="3:9" ht="14.25" customHeight="1" x14ac:dyDescent="0.3">
      <c r="C320" s="1"/>
      <c r="D320" s="118"/>
      <c r="E320" s="1"/>
      <c r="F320" s="120"/>
      <c r="G320" s="118"/>
      <c r="H320" s="120"/>
      <c r="I320" s="218"/>
    </row>
    <row r="321" spans="3:9" ht="14.25" customHeight="1" x14ac:dyDescent="0.3">
      <c r="C321" s="1"/>
      <c r="D321" s="118"/>
      <c r="E321" s="1"/>
      <c r="F321" s="120"/>
      <c r="G321" s="118"/>
      <c r="H321" s="120"/>
      <c r="I321" s="218"/>
    </row>
    <row r="322" spans="3:9" ht="14.25" customHeight="1" x14ac:dyDescent="0.3">
      <c r="C322" s="1"/>
      <c r="D322" s="118"/>
      <c r="E322" s="1"/>
      <c r="F322" s="120"/>
      <c r="G322" s="118"/>
      <c r="H322" s="120"/>
      <c r="I322" s="218"/>
    </row>
    <row r="323" spans="3:9" ht="14.25" customHeight="1" x14ac:dyDescent="0.3">
      <c r="C323" s="1"/>
      <c r="D323" s="118"/>
      <c r="E323" s="1"/>
      <c r="F323" s="120"/>
      <c r="G323" s="118"/>
      <c r="H323" s="120"/>
      <c r="I323" s="218"/>
    </row>
    <row r="324" spans="3:9" ht="14.25" customHeight="1" x14ac:dyDescent="0.3">
      <c r="C324" s="1"/>
      <c r="D324" s="118"/>
      <c r="E324" s="1"/>
      <c r="F324" s="120"/>
      <c r="G324" s="118"/>
      <c r="H324" s="120"/>
      <c r="I324" s="218"/>
    </row>
    <row r="325" spans="3:9" ht="14.25" customHeight="1" x14ac:dyDescent="0.3">
      <c r="C325" s="1"/>
      <c r="D325" s="118"/>
      <c r="E325" s="1"/>
      <c r="F325" s="120"/>
      <c r="G325" s="118"/>
      <c r="H325" s="120"/>
      <c r="I325" s="218"/>
    </row>
    <row r="326" spans="3:9" ht="14.25" customHeight="1" x14ac:dyDescent="0.3">
      <c r="C326" s="1"/>
      <c r="D326" s="118"/>
      <c r="E326" s="1"/>
      <c r="F326" s="120"/>
      <c r="G326" s="118"/>
      <c r="H326" s="120"/>
      <c r="I326" s="218"/>
    </row>
    <row r="327" spans="3:9" ht="14.25" customHeight="1" x14ac:dyDescent="0.3">
      <c r="C327" s="1"/>
      <c r="D327" s="118"/>
      <c r="E327" s="1"/>
      <c r="F327" s="120"/>
      <c r="G327" s="118"/>
      <c r="H327" s="120"/>
      <c r="I327" s="218"/>
    </row>
    <row r="328" spans="3:9" ht="14.25" customHeight="1" x14ac:dyDescent="0.3">
      <c r="C328" s="1"/>
      <c r="D328" s="118"/>
      <c r="E328" s="1"/>
      <c r="F328" s="120"/>
      <c r="G328" s="118"/>
      <c r="H328" s="120"/>
      <c r="I328" s="218"/>
    </row>
    <row r="329" spans="3:9" ht="14.25" customHeight="1" x14ac:dyDescent="0.3">
      <c r="C329" s="1"/>
      <c r="D329" s="118"/>
      <c r="E329" s="1"/>
      <c r="F329" s="120"/>
      <c r="G329" s="118"/>
      <c r="H329" s="120"/>
      <c r="I329" s="218"/>
    </row>
    <row r="330" spans="3:9" ht="14.25" customHeight="1" x14ac:dyDescent="0.3">
      <c r="C330" s="1"/>
      <c r="D330" s="118"/>
      <c r="E330" s="1"/>
      <c r="F330" s="120"/>
      <c r="G330" s="118"/>
      <c r="H330" s="120"/>
      <c r="I330" s="218"/>
    </row>
    <row r="331" spans="3:9" ht="14.25" customHeight="1" x14ac:dyDescent="0.3">
      <c r="C331" s="1"/>
      <c r="D331" s="118"/>
      <c r="E331" s="1"/>
      <c r="F331" s="120"/>
      <c r="G331" s="118"/>
      <c r="H331" s="120"/>
      <c r="I331" s="218"/>
    </row>
    <row r="332" spans="3:9" ht="14.25" customHeight="1" x14ac:dyDescent="0.3">
      <c r="C332" s="1"/>
      <c r="D332" s="118"/>
      <c r="E332" s="1"/>
      <c r="F332" s="120"/>
      <c r="G332" s="118"/>
      <c r="H332" s="120"/>
      <c r="I332" s="218"/>
    </row>
    <row r="333" spans="3:9" ht="14.25" customHeight="1" x14ac:dyDescent="0.3">
      <c r="C333" s="1"/>
      <c r="D333" s="118"/>
      <c r="E333" s="1"/>
      <c r="F333" s="120"/>
      <c r="G333" s="118"/>
      <c r="H333" s="120"/>
      <c r="I333" s="218"/>
    </row>
    <row r="334" spans="3:9" ht="14.25" customHeight="1" x14ac:dyDescent="0.3">
      <c r="C334" s="1"/>
      <c r="D334" s="118"/>
      <c r="E334" s="1"/>
      <c r="F334" s="120"/>
      <c r="G334" s="118"/>
      <c r="H334" s="120"/>
      <c r="I334" s="218"/>
    </row>
    <row r="335" spans="3:9" ht="14.25" customHeight="1" x14ac:dyDescent="0.3">
      <c r="C335" s="1"/>
      <c r="D335" s="118"/>
      <c r="E335" s="1"/>
      <c r="F335" s="120"/>
      <c r="G335" s="118"/>
      <c r="H335" s="120"/>
      <c r="I335" s="218"/>
    </row>
    <row r="336" spans="3:9" ht="14.25" customHeight="1" x14ac:dyDescent="0.3">
      <c r="C336" s="1"/>
      <c r="D336" s="118"/>
      <c r="E336" s="1"/>
      <c r="F336" s="120"/>
      <c r="G336" s="118"/>
      <c r="H336" s="120"/>
      <c r="I336" s="218"/>
    </row>
    <row r="337" spans="3:9" ht="14.25" customHeight="1" x14ac:dyDescent="0.3">
      <c r="C337" s="1"/>
      <c r="D337" s="118"/>
      <c r="E337" s="1"/>
      <c r="F337" s="120"/>
      <c r="G337" s="118"/>
      <c r="H337" s="120"/>
      <c r="I337" s="218"/>
    </row>
    <row r="338" spans="3:9" ht="14.25" customHeight="1" x14ac:dyDescent="0.3">
      <c r="C338" s="1"/>
      <c r="D338" s="118"/>
      <c r="E338" s="1"/>
      <c r="F338" s="120"/>
      <c r="G338" s="118"/>
      <c r="H338" s="120"/>
      <c r="I338" s="218"/>
    </row>
    <row r="339" spans="3:9" ht="14.25" customHeight="1" x14ac:dyDescent="0.3">
      <c r="C339" s="1"/>
      <c r="D339" s="118"/>
      <c r="E339" s="1"/>
      <c r="F339" s="120"/>
      <c r="G339" s="118"/>
      <c r="H339" s="120"/>
      <c r="I339" s="218"/>
    </row>
    <row r="340" spans="3:9" ht="14.25" customHeight="1" x14ac:dyDescent="0.3">
      <c r="C340" s="1"/>
      <c r="D340" s="118"/>
      <c r="E340" s="1"/>
      <c r="F340" s="120"/>
      <c r="G340" s="118"/>
      <c r="H340" s="120"/>
      <c r="I340" s="218"/>
    </row>
    <row r="341" spans="3:9" ht="14.25" customHeight="1" x14ac:dyDescent="0.3">
      <c r="C341" s="1"/>
      <c r="D341" s="118"/>
      <c r="E341" s="1"/>
      <c r="F341" s="120"/>
      <c r="G341" s="118"/>
      <c r="H341" s="120"/>
      <c r="I341" s="218"/>
    </row>
    <row r="342" spans="3:9" ht="14.25" customHeight="1" x14ac:dyDescent="0.3">
      <c r="C342" s="1"/>
      <c r="D342" s="118"/>
      <c r="E342" s="1"/>
      <c r="F342" s="120"/>
      <c r="G342" s="118"/>
      <c r="H342" s="120"/>
      <c r="I342" s="218"/>
    </row>
    <row r="343" spans="3:9" ht="14.25" customHeight="1" x14ac:dyDescent="0.3">
      <c r="C343" s="1"/>
      <c r="D343" s="118"/>
      <c r="E343" s="1"/>
      <c r="F343" s="120"/>
      <c r="G343" s="118"/>
      <c r="H343" s="120"/>
      <c r="I343" s="218"/>
    </row>
    <row r="344" spans="3:9" ht="14.25" customHeight="1" x14ac:dyDescent="0.3">
      <c r="C344" s="1"/>
      <c r="D344" s="118"/>
      <c r="E344" s="1"/>
      <c r="F344" s="120"/>
      <c r="G344" s="118"/>
      <c r="H344" s="120"/>
      <c r="I344" s="218"/>
    </row>
    <row r="345" spans="3:9" ht="14.25" customHeight="1" x14ac:dyDescent="0.3">
      <c r="C345" s="1"/>
      <c r="D345" s="118"/>
      <c r="E345" s="1"/>
      <c r="F345" s="120"/>
      <c r="G345" s="118"/>
      <c r="H345" s="120"/>
      <c r="I345" s="218"/>
    </row>
    <row r="346" spans="3:9" ht="14.25" customHeight="1" x14ac:dyDescent="0.3">
      <c r="C346" s="1"/>
      <c r="D346" s="118"/>
      <c r="E346" s="1"/>
      <c r="F346" s="120"/>
      <c r="G346" s="118"/>
      <c r="H346" s="120"/>
      <c r="I346" s="218"/>
    </row>
    <row r="347" spans="3:9" ht="14.25" customHeight="1" x14ac:dyDescent="0.3">
      <c r="C347" s="1"/>
      <c r="D347" s="118"/>
      <c r="E347" s="1"/>
      <c r="F347" s="120"/>
      <c r="G347" s="118"/>
      <c r="H347" s="120"/>
      <c r="I347" s="218"/>
    </row>
    <row r="348" spans="3:9" ht="14.25" customHeight="1" x14ac:dyDescent="0.3">
      <c r="C348" s="1"/>
      <c r="D348" s="118"/>
      <c r="E348" s="1"/>
      <c r="F348" s="120"/>
      <c r="G348" s="118"/>
      <c r="H348" s="120"/>
      <c r="I348" s="218"/>
    </row>
    <row r="349" spans="3:9" ht="14.25" customHeight="1" x14ac:dyDescent="0.3">
      <c r="C349" s="1"/>
      <c r="D349" s="118"/>
      <c r="E349" s="1"/>
      <c r="F349" s="120"/>
      <c r="G349" s="118"/>
      <c r="H349" s="120"/>
      <c r="I349" s="218"/>
    </row>
    <row r="350" spans="3:9" ht="14.25" customHeight="1" x14ac:dyDescent="0.3">
      <c r="C350" s="1"/>
      <c r="D350" s="118"/>
      <c r="E350" s="1"/>
      <c r="F350" s="120"/>
      <c r="G350" s="118"/>
      <c r="H350" s="120"/>
      <c r="I350" s="218"/>
    </row>
    <row r="351" spans="3:9" ht="14.25" customHeight="1" x14ac:dyDescent="0.3">
      <c r="C351" s="1"/>
      <c r="D351" s="118"/>
      <c r="E351" s="1"/>
      <c r="F351" s="120"/>
      <c r="G351" s="118"/>
      <c r="H351" s="120"/>
      <c r="I351" s="218"/>
    </row>
    <row r="352" spans="3:9" ht="14.25" customHeight="1" x14ac:dyDescent="0.3">
      <c r="C352" s="1"/>
      <c r="D352" s="118"/>
      <c r="E352" s="1"/>
      <c r="F352" s="120"/>
      <c r="G352" s="118"/>
      <c r="H352" s="120"/>
      <c r="I352" s="218"/>
    </row>
    <row r="353" spans="3:9" ht="14.25" customHeight="1" x14ac:dyDescent="0.3">
      <c r="C353" s="1"/>
      <c r="D353" s="118"/>
      <c r="E353" s="1"/>
      <c r="F353" s="120"/>
      <c r="G353" s="118"/>
      <c r="H353" s="120"/>
      <c r="I353" s="218"/>
    </row>
    <row r="354" spans="3:9" ht="14.25" customHeight="1" x14ac:dyDescent="0.3">
      <c r="C354" s="1"/>
      <c r="D354" s="118"/>
      <c r="E354" s="1"/>
      <c r="F354" s="120"/>
      <c r="G354" s="118"/>
      <c r="H354" s="120"/>
      <c r="I354" s="218"/>
    </row>
    <row r="355" spans="3:9" ht="14.25" customHeight="1" x14ac:dyDescent="0.3">
      <c r="C355" s="1"/>
      <c r="D355" s="118"/>
      <c r="E355" s="1"/>
      <c r="F355" s="120"/>
      <c r="G355" s="118"/>
      <c r="H355" s="120"/>
      <c r="I355" s="218"/>
    </row>
    <row r="356" spans="3:9" ht="14.25" customHeight="1" x14ac:dyDescent="0.3">
      <c r="C356" s="1"/>
      <c r="D356" s="118"/>
      <c r="E356" s="1"/>
      <c r="F356" s="120"/>
      <c r="G356" s="118"/>
      <c r="H356" s="120"/>
      <c r="I356" s="218"/>
    </row>
    <row r="357" spans="3:9" ht="14.25" customHeight="1" x14ac:dyDescent="0.3">
      <c r="C357" s="1"/>
      <c r="D357" s="118"/>
      <c r="E357" s="1"/>
      <c r="F357" s="120"/>
      <c r="G357" s="118"/>
      <c r="H357" s="120"/>
      <c r="I357" s="218"/>
    </row>
    <row r="358" spans="3:9" ht="14.25" customHeight="1" x14ac:dyDescent="0.3">
      <c r="C358" s="1"/>
      <c r="D358" s="118"/>
      <c r="E358" s="1"/>
      <c r="F358" s="120"/>
      <c r="G358" s="118"/>
      <c r="H358" s="120"/>
      <c r="I358" s="218"/>
    </row>
    <row r="359" spans="3:9" ht="14.25" customHeight="1" x14ac:dyDescent="0.3">
      <c r="C359" s="1"/>
      <c r="D359" s="118"/>
      <c r="E359" s="1"/>
      <c r="F359" s="120"/>
      <c r="G359" s="118"/>
      <c r="H359" s="120"/>
      <c r="I359" s="218"/>
    </row>
    <row r="360" spans="3:9" ht="14.25" customHeight="1" x14ac:dyDescent="0.3">
      <c r="C360" s="1"/>
      <c r="D360" s="118"/>
      <c r="E360" s="1"/>
      <c r="F360" s="120"/>
      <c r="G360" s="118"/>
      <c r="H360" s="120"/>
      <c r="I360" s="218"/>
    </row>
    <row r="361" spans="3:9" ht="14.25" customHeight="1" x14ac:dyDescent="0.3">
      <c r="C361" s="1"/>
      <c r="D361" s="118"/>
      <c r="E361" s="1"/>
      <c r="F361" s="120"/>
      <c r="G361" s="118"/>
      <c r="H361" s="120"/>
      <c r="I361" s="218"/>
    </row>
    <row r="362" spans="3:9" ht="14.25" customHeight="1" x14ac:dyDescent="0.3">
      <c r="C362" s="1"/>
      <c r="D362" s="118"/>
      <c r="E362" s="1"/>
      <c r="F362" s="120"/>
      <c r="G362" s="118"/>
      <c r="H362" s="120"/>
      <c r="I362" s="218"/>
    </row>
    <row r="363" spans="3:9" ht="14.25" customHeight="1" x14ac:dyDescent="0.3">
      <c r="C363" s="1"/>
      <c r="D363" s="118"/>
      <c r="E363" s="1"/>
      <c r="F363" s="120"/>
      <c r="G363" s="118"/>
      <c r="H363" s="120"/>
      <c r="I363" s="218"/>
    </row>
    <row r="364" spans="3:9" ht="14.25" customHeight="1" x14ac:dyDescent="0.3">
      <c r="C364" s="1"/>
      <c r="D364" s="118"/>
      <c r="E364" s="1"/>
      <c r="F364" s="120"/>
      <c r="G364" s="118"/>
      <c r="H364" s="120"/>
      <c r="I364" s="218"/>
    </row>
    <row r="365" spans="3:9" ht="14.25" customHeight="1" x14ac:dyDescent="0.3">
      <c r="C365" s="1"/>
      <c r="D365" s="118"/>
      <c r="E365" s="1"/>
      <c r="F365" s="120"/>
      <c r="G365" s="118"/>
      <c r="H365" s="120"/>
      <c r="I365" s="218"/>
    </row>
    <row r="366" spans="3:9" ht="14.25" customHeight="1" x14ac:dyDescent="0.3">
      <c r="C366" s="1"/>
      <c r="D366" s="118"/>
      <c r="E366" s="1"/>
      <c r="F366" s="120"/>
      <c r="G366" s="118"/>
      <c r="H366" s="120"/>
      <c r="I366" s="218"/>
    </row>
    <row r="367" spans="3:9" ht="14.25" customHeight="1" x14ac:dyDescent="0.3">
      <c r="C367" s="1"/>
      <c r="D367" s="118"/>
      <c r="E367" s="1"/>
      <c r="F367" s="120"/>
      <c r="G367" s="118"/>
      <c r="H367" s="120"/>
      <c r="I367" s="218"/>
    </row>
    <row r="368" spans="3:9" ht="14.25" customHeight="1" x14ac:dyDescent="0.3">
      <c r="C368" s="1"/>
      <c r="D368" s="118"/>
      <c r="E368" s="1"/>
      <c r="F368" s="120"/>
      <c r="G368" s="118"/>
      <c r="H368" s="120"/>
      <c r="I368" s="218"/>
    </row>
    <row r="369" spans="3:9" ht="14.25" customHeight="1" x14ac:dyDescent="0.3">
      <c r="C369" s="1"/>
      <c r="D369" s="118"/>
      <c r="E369" s="1"/>
      <c r="F369" s="120"/>
      <c r="G369" s="118"/>
      <c r="H369" s="120"/>
      <c r="I369" s="218"/>
    </row>
    <row r="370" spans="3:9" ht="14.25" customHeight="1" x14ac:dyDescent="0.3">
      <c r="C370" s="1"/>
      <c r="D370" s="118"/>
      <c r="E370" s="1"/>
      <c r="F370" s="120"/>
      <c r="G370" s="118"/>
      <c r="H370" s="120"/>
      <c r="I370" s="218"/>
    </row>
    <row r="371" spans="3:9" ht="14.25" customHeight="1" x14ac:dyDescent="0.3">
      <c r="C371" s="1"/>
      <c r="D371" s="118"/>
      <c r="E371" s="1"/>
      <c r="F371" s="120"/>
      <c r="G371" s="118"/>
      <c r="H371" s="120"/>
      <c r="I371" s="218"/>
    </row>
    <row r="372" spans="3:9" ht="14.25" customHeight="1" x14ac:dyDescent="0.3">
      <c r="C372" s="1"/>
      <c r="D372" s="118"/>
      <c r="E372" s="1"/>
      <c r="F372" s="120"/>
      <c r="G372" s="118"/>
      <c r="H372" s="120"/>
      <c r="I372" s="218"/>
    </row>
    <row r="373" spans="3:9" ht="14.25" customHeight="1" x14ac:dyDescent="0.3">
      <c r="C373" s="1"/>
      <c r="D373" s="118"/>
      <c r="E373" s="1"/>
      <c r="F373" s="120"/>
      <c r="G373" s="118"/>
      <c r="H373" s="120"/>
      <c r="I373" s="218"/>
    </row>
    <row r="374" spans="3:9" ht="14.25" customHeight="1" x14ac:dyDescent="0.3">
      <c r="C374" s="1"/>
      <c r="D374" s="118"/>
      <c r="E374" s="1"/>
      <c r="F374" s="120"/>
      <c r="G374" s="118"/>
      <c r="H374" s="120"/>
      <c r="I374" s="218"/>
    </row>
    <row r="375" spans="3:9" ht="14.25" customHeight="1" x14ac:dyDescent="0.3">
      <c r="C375" s="1"/>
      <c r="D375" s="118"/>
      <c r="E375" s="1"/>
      <c r="F375" s="120"/>
      <c r="G375" s="118"/>
      <c r="H375" s="120"/>
      <c r="I375" s="218"/>
    </row>
    <row r="376" spans="3:9" ht="14.25" customHeight="1" x14ac:dyDescent="0.3">
      <c r="C376" s="1"/>
      <c r="D376" s="118"/>
      <c r="E376" s="1"/>
      <c r="F376" s="120"/>
      <c r="G376" s="118"/>
      <c r="H376" s="120"/>
      <c r="I376" s="218"/>
    </row>
    <row r="377" spans="3:9" ht="14.25" customHeight="1" x14ac:dyDescent="0.3">
      <c r="C377" s="1"/>
      <c r="D377" s="118"/>
      <c r="E377" s="1"/>
      <c r="F377" s="120"/>
      <c r="G377" s="118"/>
      <c r="H377" s="120"/>
      <c r="I377" s="218"/>
    </row>
    <row r="378" spans="3:9" ht="14.25" customHeight="1" x14ac:dyDescent="0.3">
      <c r="C378" s="1"/>
      <c r="D378" s="118"/>
      <c r="E378" s="1"/>
      <c r="F378" s="120"/>
      <c r="G378" s="118"/>
      <c r="H378" s="120"/>
      <c r="I378" s="218"/>
    </row>
    <row r="379" spans="3:9" ht="14.25" customHeight="1" x14ac:dyDescent="0.3">
      <c r="C379" s="1"/>
      <c r="D379" s="118"/>
      <c r="E379" s="1"/>
      <c r="F379" s="120"/>
      <c r="G379" s="118"/>
      <c r="H379" s="120"/>
      <c r="I379" s="218"/>
    </row>
    <row r="380" spans="3:9" ht="14.25" customHeight="1" x14ac:dyDescent="0.3">
      <c r="C380" s="1"/>
      <c r="D380" s="118"/>
      <c r="E380" s="1"/>
      <c r="F380" s="120"/>
      <c r="G380" s="118"/>
      <c r="H380" s="120"/>
      <c r="I380" s="218"/>
    </row>
    <row r="381" spans="3:9" ht="14.25" customHeight="1" x14ac:dyDescent="0.3">
      <c r="C381" s="1"/>
      <c r="D381" s="118"/>
      <c r="E381" s="1"/>
      <c r="F381" s="120"/>
      <c r="G381" s="118"/>
      <c r="H381" s="120"/>
      <c r="I381" s="218"/>
    </row>
    <row r="382" spans="3:9" ht="14.25" customHeight="1" x14ac:dyDescent="0.3">
      <c r="C382" s="1"/>
      <c r="D382" s="118"/>
      <c r="E382" s="1"/>
      <c r="F382" s="120"/>
      <c r="G382" s="118"/>
      <c r="H382" s="120"/>
      <c r="I382" s="218"/>
    </row>
    <row r="383" spans="3:9" ht="14.25" customHeight="1" x14ac:dyDescent="0.3">
      <c r="C383" s="1"/>
      <c r="D383" s="118"/>
      <c r="E383" s="1"/>
      <c r="F383" s="120"/>
      <c r="G383" s="118"/>
      <c r="H383" s="120"/>
      <c r="I383" s="218"/>
    </row>
    <row r="384" spans="3:9" ht="14.25" customHeight="1" x14ac:dyDescent="0.3">
      <c r="C384" s="1"/>
      <c r="D384" s="118"/>
      <c r="E384" s="1"/>
      <c r="F384" s="120"/>
      <c r="G384" s="118"/>
      <c r="H384" s="120"/>
      <c r="I384" s="218"/>
    </row>
    <row r="385" spans="3:9" ht="14.25" customHeight="1" x14ac:dyDescent="0.3">
      <c r="C385" s="1"/>
      <c r="D385" s="118"/>
      <c r="E385" s="1"/>
      <c r="F385" s="120"/>
      <c r="G385" s="118"/>
      <c r="H385" s="120"/>
      <c r="I385" s="218"/>
    </row>
    <row r="386" spans="3:9" ht="14.25" customHeight="1" x14ac:dyDescent="0.3">
      <c r="C386" s="1"/>
      <c r="D386" s="118"/>
      <c r="E386" s="1"/>
      <c r="F386" s="120"/>
      <c r="G386" s="118"/>
      <c r="H386" s="120"/>
      <c r="I386" s="218"/>
    </row>
    <row r="387" spans="3:9" ht="14.25" customHeight="1" x14ac:dyDescent="0.3">
      <c r="C387" s="1"/>
      <c r="D387" s="118"/>
      <c r="E387" s="1"/>
      <c r="F387" s="120"/>
      <c r="G387" s="118"/>
      <c r="H387" s="120"/>
      <c r="I387" s="218"/>
    </row>
    <row r="388" spans="3:9" ht="14.25" customHeight="1" x14ac:dyDescent="0.3">
      <c r="C388" s="1"/>
      <c r="D388" s="118"/>
      <c r="E388" s="1"/>
      <c r="F388" s="120"/>
      <c r="G388" s="118"/>
      <c r="H388" s="120"/>
      <c r="I388" s="218"/>
    </row>
    <row r="389" spans="3:9" ht="14.25" customHeight="1" x14ac:dyDescent="0.3">
      <c r="C389" s="1"/>
      <c r="D389" s="118"/>
      <c r="E389" s="1"/>
      <c r="F389" s="120"/>
      <c r="G389" s="118"/>
      <c r="H389" s="120"/>
      <c r="I389" s="218"/>
    </row>
    <row r="390" spans="3:9" ht="14.25" customHeight="1" x14ac:dyDescent="0.3">
      <c r="C390" s="1"/>
      <c r="D390" s="118"/>
      <c r="E390" s="1"/>
      <c r="F390" s="120"/>
      <c r="G390" s="118"/>
      <c r="H390" s="120"/>
      <c r="I390" s="218"/>
    </row>
    <row r="391" spans="3:9" ht="14.25" customHeight="1" x14ac:dyDescent="0.3">
      <c r="C391" s="1"/>
      <c r="D391" s="118"/>
      <c r="E391" s="1"/>
      <c r="F391" s="120"/>
      <c r="G391" s="118"/>
      <c r="H391" s="120"/>
      <c r="I391" s="218"/>
    </row>
    <row r="392" spans="3:9" ht="14.25" customHeight="1" x14ac:dyDescent="0.3">
      <c r="C392" s="1"/>
      <c r="D392" s="118"/>
      <c r="E392" s="1"/>
      <c r="F392" s="120"/>
      <c r="G392" s="118"/>
      <c r="H392" s="120"/>
      <c r="I392" s="218"/>
    </row>
    <row r="393" spans="3:9" ht="14.25" customHeight="1" x14ac:dyDescent="0.3">
      <c r="C393" s="1"/>
      <c r="D393" s="118"/>
      <c r="E393" s="1"/>
      <c r="F393" s="120"/>
      <c r="G393" s="118"/>
      <c r="H393" s="120"/>
      <c r="I393" s="218"/>
    </row>
    <row r="394" spans="3:9" ht="14.25" customHeight="1" x14ac:dyDescent="0.3">
      <c r="C394" s="1"/>
      <c r="D394" s="118"/>
      <c r="E394" s="1"/>
      <c r="F394" s="120"/>
      <c r="G394" s="118"/>
      <c r="H394" s="120"/>
      <c r="I394" s="218"/>
    </row>
    <row r="395" spans="3:9" ht="14.25" customHeight="1" x14ac:dyDescent="0.3">
      <c r="C395" s="1"/>
      <c r="D395" s="118"/>
      <c r="E395" s="1"/>
      <c r="F395" s="120"/>
      <c r="G395" s="118"/>
      <c r="H395" s="120"/>
      <c r="I395" s="218"/>
    </row>
    <row r="396" spans="3:9" ht="14.25" customHeight="1" x14ac:dyDescent="0.3">
      <c r="C396" s="1"/>
      <c r="D396" s="118"/>
      <c r="E396" s="1"/>
      <c r="F396" s="120"/>
      <c r="G396" s="118"/>
      <c r="H396" s="120"/>
      <c r="I396" s="218"/>
    </row>
    <row r="397" spans="3:9" ht="14.25" customHeight="1" x14ac:dyDescent="0.3">
      <c r="C397" s="1"/>
      <c r="D397" s="118"/>
      <c r="E397" s="1"/>
      <c r="F397" s="120"/>
      <c r="G397" s="118"/>
      <c r="H397" s="120"/>
      <c r="I397" s="218"/>
    </row>
    <row r="398" spans="3:9" ht="14.25" customHeight="1" x14ac:dyDescent="0.3">
      <c r="C398" s="1"/>
      <c r="D398" s="118"/>
      <c r="E398" s="1"/>
      <c r="F398" s="120"/>
      <c r="G398" s="118"/>
      <c r="H398" s="120"/>
      <c r="I398" s="218"/>
    </row>
    <row r="399" spans="3:9" ht="14.25" customHeight="1" x14ac:dyDescent="0.3">
      <c r="C399" s="1"/>
      <c r="D399" s="118"/>
      <c r="E399" s="1"/>
      <c r="F399" s="120"/>
      <c r="G399" s="118"/>
      <c r="H399" s="120"/>
      <c r="I399" s="218"/>
    </row>
    <row r="400" spans="3:9" ht="14.25" customHeight="1" x14ac:dyDescent="0.3">
      <c r="C400" s="1"/>
      <c r="D400" s="118"/>
      <c r="E400" s="1"/>
      <c r="F400" s="120"/>
      <c r="G400" s="118"/>
      <c r="H400" s="120"/>
      <c r="I400" s="218"/>
    </row>
    <row r="401" spans="3:9" ht="14.25" customHeight="1" x14ac:dyDescent="0.3">
      <c r="C401" s="1"/>
      <c r="D401" s="118"/>
      <c r="E401" s="1"/>
      <c r="F401" s="120"/>
      <c r="G401" s="118"/>
      <c r="H401" s="120"/>
      <c r="I401" s="218"/>
    </row>
    <row r="402" spans="3:9" ht="14.25" customHeight="1" x14ac:dyDescent="0.3">
      <c r="C402" s="1"/>
      <c r="D402" s="118"/>
      <c r="E402" s="1"/>
      <c r="F402" s="120"/>
      <c r="G402" s="118"/>
      <c r="H402" s="120"/>
      <c r="I402" s="218"/>
    </row>
    <row r="403" spans="3:9" ht="14.25" customHeight="1" x14ac:dyDescent="0.3">
      <c r="C403" s="1"/>
      <c r="D403" s="118"/>
      <c r="E403" s="1"/>
      <c r="F403" s="120"/>
      <c r="G403" s="118"/>
      <c r="H403" s="120"/>
      <c r="I403" s="218"/>
    </row>
    <row r="404" spans="3:9" ht="14.25" customHeight="1" x14ac:dyDescent="0.3">
      <c r="C404" s="1"/>
      <c r="D404" s="118"/>
      <c r="E404" s="1"/>
      <c r="F404" s="120"/>
      <c r="G404" s="118"/>
      <c r="H404" s="120"/>
      <c r="I404" s="218"/>
    </row>
    <row r="405" spans="3:9" ht="14.25" customHeight="1" x14ac:dyDescent="0.3">
      <c r="C405" s="1"/>
      <c r="D405" s="118"/>
      <c r="E405" s="1"/>
      <c r="F405" s="120"/>
      <c r="G405" s="118"/>
      <c r="H405" s="120"/>
      <c r="I405" s="218"/>
    </row>
    <row r="406" spans="3:9" ht="14.25" customHeight="1" x14ac:dyDescent="0.3">
      <c r="C406" s="1"/>
      <c r="D406" s="118"/>
      <c r="E406" s="1"/>
      <c r="F406" s="120"/>
      <c r="G406" s="118"/>
      <c r="H406" s="120"/>
      <c r="I406" s="218"/>
    </row>
    <row r="407" spans="3:9" ht="14.25" customHeight="1" x14ac:dyDescent="0.3">
      <c r="C407" s="1"/>
      <c r="D407" s="118"/>
      <c r="E407" s="1"/>
      <c r="F407" s="120"/>
      <c r="G407" s="118"/>
      <c r="H407" s="120"/>
      <c r="I407" s="218"/>
    </row>
    <row r="408" spans="3:9" ht="14.25" customHeight="1" x14ac:dyDescent="0.3">
      <c r="C408" s="1"/>
      <c r="D408" s="118"/>
      <c r="E408" s="1"/>
      <c r="F408" s="120"/>
      <c r="G408" s="118"/>
      <c r="H408" s="120"/>
      <c r="I408" s="218"/>
    </row>
    <row r="409" spans="3:9" ht="14.25" customHeight="1" x14ac:dyDescent="0.3">
      <c r="C409" s="1"/>
      <c r="D409" s="118"/>
      <c r="E409" s="1"/>
      <c r="F409" s="120"/>
      <c r="G409" s="118"/>
      <c r="H409" s="120"/>
      <c r="I409" s="218"/>
    </row>
    <row r="410" spans="3:9" ht="14.25" customHeight="1" x14ac:dyDescent="0.3">
      <c r="C410" s="1"/>
      <c r="D410" s="118"/>
      <c r="E410" s="1"/>
      <c r="F410" s="120"/>
      <c r="G410" s="118"/>
      <c r="H410" s="120"/>
      <c r="I410" s="218"/>
    </row>
    <row r="411" spans="3:9" ht="14.25" customHeight="1" x14ac:dyDescent="0.3">
      <c r="C411" s="1"/>
      <c r="D411" s="118"/>
      <c r="E411" s="1"/>
      <c r="F411" s="120"/>
      <c r="G411" s="118"/>
      <c r="H411" s="120"/>
      <c r="I411" s="218"/>
    </row>
    <row r="412" spans="3:9" ht="14.25" customHeight="1" x14ac:dyDescent="0.3">
      <c r="C412" s="1"/>
      <c r="D412" s="118"/>
      <c r="E412" s="1"/>
      <c r="F412" s="120"/>
      <c r="G412" s="118"/>
      <c r="H412" s="120"/>
      <c r="I412" s="218"/>
    </row>
    <row r="413" spans="3:9" ht="14.25" customHeight="1" x14ac:dyDescent="0.3">
      <c r="C413" s="1"/>
      <c r="D413" s="118"/>
      <c r="E413" s="1"/>
      <c r="F413" s="120"/>
      <c r="G413" s="118"/>
      <c r="H413" s="120"/>
      <c r="I413" s="218"/>
    </row>
    <row r="414" spans="3:9" ht="14.25" customHeight="1" x14ac:dyDescent="0.3">
      <c r="C414" s="1"/>
      <c r="D414" s="118"/>
      <c r="E414" s="1"/>
      <c r="F414" s="120"/>
      <c r="G414" s="118"/>
      <c r="H414" s="120"/>
      <c r="I414" s="218"/>
    </row>
    <row r="415" spans="3:9" ht="14.25" customHeight="1" x14ac:dyDescent="0.3">
      <c r="C415" s="1"/>
      <c r="D415" s="118"/>
      <c r="E415" s="1"/>
      <c r="F415" s="120"/>
      <c r="G415" s="118"/>
      <c r="H415" s="120"/>
      <c r="I415" s="218"/>
    </row>
    <row r="416" spans="3:9" ht="14.25" customHeight="1" x14ac:dyDescent="0.3">
      <c r="C416" s="1"/>
      <c r="D416" s="118"/>
      <c r="E416" s="1"/>
      <c r="F416" s="120"/>
      <c r="G416" s="118"/>
      <c r="H416" s="120"/>
      <c r="I416" s="218"/>
    </row>
    <row r="417" spans="3:9" ht="14.25" customHeight="1" x14ac:dyDescent="0.3">
      <c r="C417" s="1"/>
      <c r="D417" s="118"/>
      <c r="E417" s="1"/>
      <c r="F417" s="120"/>
      <c r="G417" s="118"/>
      <c r="H417" s="120"/>
      <c r="I417" s="218"/>
    </row>
    <row r="418" spans="3:9" ht="14.25" customHeight="1" x14ac:dyDescent="0.3">
      <c r="C418" s="1"/>
      <c r="D418" s="118"/>
      <c r="E418" s="1"/>
      <c r="F418" s="120"/>
      <c r="G418" s="118"/>
      <c r="H418" s="120"/>
      <c r="I418" s="218"/>
    </row>
    <row r="419" spans="3:9" ht="14.25" customHeight="1" x14ac:dyDescent="0.3">
      <c r="C419" s="1"/>
      <c r="D419" s="118"/>
      <c r="E419" s="1"/>
      <c r="F419" s="120"/>
      <c r="G419" s="118"/>
      <c r="H419" s="120"/>
      <c r="I419" s="218"/>
    </row>
    <row r="420" spans="3:9" ht="14.25" customHeight="1" x14ac:dyDescent="0.3">
      <c r="C420" s="1"/>
      <c r="D420" s="118"/>
      <c r="E420" s="1"/>
      <c r="F420" s="120"/>
      <c r="G420" s="118"/>
      <c r="H420" s="120"/>
      <c r="I420" s="218"/>
    </row>
    <row r="421" spans="3:9" ht="14.25" customHeight="1" x14ac:dyDescent="0.3">
      <c r="C421" s="1"/>
      <c r="D421" s="118"/>
      <c r="E421" s="1"/>
      <c r="F421" s="120"/>
      <c r="G421" s="118"/>
      <c r="H421" s="120"/>
      <c r="I421" s="218"/>
    </row>
    <row r="422" spans="3:9" ht="14.25" customHeight="1" x14ac:dyDescent="0.3">
      <c r="C422" s="1"/>
      <c r="D422" s="118"/>
      <c r="E422" s="1"/>
      <c r="F422" s="120"/>
      <c r="G422" s="118"/>
      <c r="H422" s="120"/>
      <c r="I422" s="218"/>
    </row>
    <row r="423" spans="3:9" ht="14.25" customHeight="1" x14ac:dyDescent="0.3">
      <c r="C423" s="1"/>
      <c r="D423" s="118"/>
      <c r="E423" s="1"/>
      <c r="F423" s="120"/>
      <c r="G423" s="118"/>
      <c r="H423" s="120"/>
      <c r="I423" s="218"/>
    </row>
    <row r="424" spans="3:9" ht="14.25" customHeight="1" x14ac:dyDescent="0.3">
      <c r="C424" s="1"/>
      <c r="D424" s="118"/>
      <c r="E424" s="1"/>
      <c r="F424" s="120"/>
      <c r="G424" s="118"/>
      <c r="H424" s="120"/>
      <c r="I424" s="218"/>
    </row>
    <row r="425" spans="3:9" ht="14.25" customHeight="1" x14ac:dyDescent="0.3">
      <c r="C425" s="1"/>
      <c r="D425" s="118"/>
      <c r="E425" s="1"/>
      <c r="F425" s="120"/>
      <c r="G425" s="118"/>
      <c r="H425" s="120"/>
      <c r="I425" s="218"/>
    </row>
    <row r="426" spans="3:9" ht="14.25" customHeight="1" x14ac:dyDescent="0.3">
      <c r="C426" s="1"/>
      <c r="D426" s="118"/>
      <c r="E426" s="1"/>
      <c r="F426" s="120"/>
      <c r="G426" s="118"/>
      <c r="H426" s="120"/>
      <c r="I426" s="218"/>
    </row>
    <row r="427" spans="3:9" ht="14.25" customHeight="1" x14ac:dyDescent="0.3">
      <c r="C427" s="1"/>
      <c r="D427" s="118"/>
      <c r="E427" s="1"/>
      <c r="F427" s="120"/>
      <c r="G427" s="118"/>
      <c r="H427" s="120"/>
      <c r="I427" s="218"/>
    </row>
    <row r="428" spans="3:9" ht="14.25" customHeight="1" x14ac:dyDescent="0.3">
      <c r="C428" s="1"/>
      <c r="D428" s="118"/>
      <c r="E428" s="1"/>
      <c r="F428" s="120"/>
      <c r="G428" s="118"/>
      <c r="H428" s="120"/>
      <c r="I428" s="218"/>
    </row>
    <row r="429" spans="3:9" ht="14.25" customHeight="1" x14ac:dyDescent="0.3">
      <c r="C429" s="1"/>
      <c r="D429" s="118"/>
      <c r="E429" s="1"/>
      <c r="F429" s="120"/>
      <c r="G429" s="118"/>
      <c r="H429" s="120"/>
      <c r="I429" s="218"/>
    </row>
    <row r="430" spans="3:9" ht="14.25" customHeight="1" x14ac:dyDescent="0.3">
      <c r="C430" s="1"/>
      <c r="D430" s="118"/>
      <c r="E430" s="1"/>
      <c r="F430" s="120"/>
      <c r="G430" s="118"/>
      <c r="H430" s="120"/>
      <c r="I430" s="218"/>
    </row>
    <row r="431" spans="3:9" ht="14.25" customHeight="1" x14ac:dyDescent="0.3">
      <c r="C431" s="1"/>
      <c r="D431" s="118"/>
      <c r="E431" s="1"/>
      <c r="F431" s="120"/>
      <c r="G431" s="118"/>
      <c r="H431" s="120"/>
      <c r="I431" s="218"/>
    </row>
    <row r="432" spans="3:9" ht="14.25" customHeight="1" x14ac:dyDescent="0.3">
      <c r="C432" s="1"/>
      <c r="D432" s="118"/>
      <c r="E432" s="1"/>
      <c r="F432" s="120"/>
      <c r="G432" s="118"/>
      <c r="H432" s="120"/>
      <c r="I432" s="218"/>
    </row>
    <row r="433" spans="3:9" ht="14.25" customHeight="1" x14ac:dyDescent="0.3">
      <c r="C433" s="1"/>
      <c r="D433" s="118"/>
      <c r="E433" s="1"/>
      <c r="F433" s="120"/>
      <c r="G433" s="118"/>
      <c r="H433" s="120"/>
      <c r="I433" s="218"/>
    </row>
    <row r="434" spans="3:9" ht="14.25" customHeight="1" x14ac:dyDescent="0.3">
      <c r="C434" s="1"/>
      <c r="D434" s="118"/>
      <c r="E434" s="1"/>
      <c r="F434" s="120"/>
      <c r="G434" s="118"/>
      <c r="H434" s="120"/>
      <c r="I434" s="218"/>
    </row>
    <row r="435" spans="3:9" ht="14.25" customHeight="1" x14ac:dyDescent="0.3">
      <c r="C435" s="1"/>
      <c r="D435" s="118"/>
      <c r="E435" s="1"/>
      <c r="F435" s="120"/>
      <c r="G435" s="118"/>
      <c r="H435" s="120"/>
      <c r="I435" s="218"/>
    </row>
    <row r="436" spans="3:9" ht="14.25" customHeight="1" x14ac:dyDescent="0.3">
      <c r="C436" s="1"/>
      <c r="D436" s="118"/>
      <c r="E436" s="1"/>
      <c r="F436" s="120"/>
      <c r="G436" s="118"/>
      <c r="H436" s="120"/>
      <c r="I436" s="218"/>
    </row>
    <row r="437" spans="3:9" ht="14.25" customHeight="1" x14ac:dyDescent="0.3">
      <c r="C437" s="1"/>
      <c r="D437" s="118"/>
      <c r="E437" s="1"/>
      <c r="F437" s="120"/>
      <c r="G437" s="118"/>
      <c r="H437" s="120"/>
      <c r="I437" s="218"/>
    </row>
    <row r="438" spans="3:9" ht="14.25" customHeight="1" x14ac:dyDescent="0.3">
      <c r="C438" s="1"/>
      <c r="D438" s="118"/>
      <c r="E438" s="1"/>
      <c r="F438" s="120"/>
      <c r="G438" s="118"/>
      <c r="H438" s="120"/>
      <c r="I438" s="218"/>
    </row>
    <row r="439" spans="3:9" ht="14.25" customHeight="1" x14ac:dyDescent="0.3">
      <c r="C439" s="1"/>
      <c r="D439" s="118"/>
      <c r="E439" s="1"/>
      <c r="F439" s="120"/>
      <c r="G439" s="118"/>
      <c r="H439" s="120"/>
      <c r="I439" s="218"/>
    </row>
    <row r="440" spans="3:9" ht="14.25" customHeight="1" x14ac:dyDescent="0.3">
      <c r="C440" s="1"/>
      <c r="D440" s="118"/>
      <c r="E440" s="1"/>
      <c r="F440" s="120"/>
      <c r="G440" s="118"/>
      <c r="H440" s="120"/>
      <c r="I440" s="218"/>
    </row>
    <row r="441" spans="3:9" ht="14.25" customHeight="1" x14ac:dyDescent="0.3">
      <c r="C441" s="1"/>
      <c r="D441" s="118"/>
      <c r="E441" s="1"/>
      <c r="F441" s="120"/>
      <c r="G441" s="118"/>
      <c r="H441" s="120"/>
      <c r="I441" s="218"/>
    </row>
    <row r="442" spans="3:9" ht="14.25" customHeight="1" x14ac:dyDescent="0.3">
      <c r="C442" s="1"/>
      <c r="D442" s="118"/>
      <c r="E442" s="1"/>
      <c r="F442" s="120"/>
      <c r="G442" s="118"/>
      <c r="H442" s="120"/>
      <c r="I442" s="218"/>
    </row>
    <row r="443" spans="3:9" ht="14.25" customHeight="1" x14ac:dyDescent="0.3">
      <c r="C443" s="1"/>
      <c r="D443" s="118"/>
      <c r="E443" s="1"/>
      <c r="F443" s="120"/>
      <c r="G443" s="118"/>
      <c r="H443" s="120"/>
      <c r="I443" s="218"/>
    </row>
    <row r="444" spans="3:9" ht="14.25" customHeight="1" x14ac:dyDescent="0.3">
      <c r="C444" s="1"/>
      <c r="D444" s="118"/>
      <c r="E444" s="1"/>
      <c r="F444" s="120"/>
      <c r="G444" s="118"/>
      <c r="H444" s="120"/>
      <c r="I444" s="218"/>
    </row>
    <row r="445" spans="3:9" ht="14.25" customHeight="1" x14ac:dyDescent="0.3">
      <c r="C445" s="1"/>
      <c r="D445" s="118"/>
      <c r="E445" s="1"/>
      <c r="F445" s="120"/>
      <c r="G445" s="118"/>
      <c r="H445" s="120"/>
      <c r="I445" s="218"/>
    </row>
    <row r="446" spans="3:9" ht="14.25" customHeight="1" x14ac:dyDescent="0.3">
      <c r="C446" s="1"/>
      <c r="D446" s="118"/>
      <c r="E446" s="1"/>
      <c r="F446" s="120"/>
      <c r="G446" s="118"/>
      <c r="H446" s="120"/>
      <c r="I446" s="218"/>
    </row>
    <row r="447" spans="3:9" ht="14.25" customHeight="1" x14ac:dyDescent="0.3">
      <c r="C447" s="1"/>
      <c r="D447" s="118"/>
      <c r="E447" s="1"/>
      <c r="F447" s="120"/>
      <c r="G447" s="118"/>
      <c r="H447" s="120"/>
      <c r="I447" s="218"/>
    </row>
    <row r="448" spans="3:9" ht="14.25" customHeight="1" x14ac:dyDescent="0.3">
      <c r="C448" s="1"/>
      <c r="D448" s="118"/>
      <c r="E448" s="1"/>
      <c r="F448" s="120"/>
      <c r="G448" s="118"/>
      <c r="H448" s="120"/>
      <c r="I448" s="218"/>
    </row>
    <row r="449" spans="3:9" ht="14.25" customHeight="1" x14ac:dyDescent="0.3">
      <c r="C449" s="1"/>
      <c r="D449" s="118"/>
      <c r="E449" s="1"/>
      <c r="F449" s="120"/>
      <c r="G449" s="118"/>
      <c r="H449" s="120"/>
      <c r="I449" s="218"/>
    </row>
    <row r="450" spans="3:9" ht="14.25" customHeight="1" x14ac:dyDescent="0.3">
      <c r="C450" s="1"/>
      <c r="D450" s="118"/>
      <c r="E450" s="1"/>
      <c r="F450" s="120"/>
      <c r="G450" s="118"/>
      <c r="H450" s="120"/>
      <c r="I450" s="218"/>
    </row>
    <row r="451" spans="3:9" ht="14.25" customHeight="1" x14ac:dyDescent="0.3">
      <c r="C451" s="1"/>
      <c r="D451" s="118"/>
      <c r="E451" s="1"/>
      <c r="F451" s="120"/>
      <c r="G451" s="118"/>
      <c r="H451" s="120"/>
      <c r="I451" s="218"/>
    </row>
    <row r="452" spans="3:9" ht="14.25" customHeight="1" x14ac:dyDescent="0.3">
      <c r="C452" s="1"/>
      <c r="D452" s="118"/>
      <c r="E452" s="1"/>
      <c r="F452" s="120"/>
      <c r="G452" s="118"/>
      <c r="H452" s="120"/>
      <c r="I452" s="218"/>
    </row>
    <row r="453" spans="3:9" ht="14.25" customHeight="1" x14ac:dyDescent="0.3">
      <c r="C453" s="1"/>
      <c r="D453" s="118"/>
      <c r="E453" s="1"/>
      <c r="F453" s="120"/>
      <c r="G453" s="118"/>
      <c r="H453" s="120"/>
      <c r="I453" s="218"/>
    </row>
    <row r="454" spans="3:9" ht="14.25" customHeight="1" x14ac:dyDescent="0.3">
      <c r="C454" s="1"/>
      <c r="D454" s="118"/>
      <c r="E454" s="1"/>
      <c r="F454" s="120"/>
      <c r="G454" s="118"/>
      <c r="H454" s="120"/>
      <c r="I454" s="218"/>
    </row>
    <row r="455" spans="3:9" ht="14.25" customHeight="1" x14ac:dyDescent="0.3">
      <c r="C455" s="1"/>
      <c r="D455" s="118"/>
      <c r="E455" s="1"/>
      <c r="F455" s="120"/>
      <c r="G455" s="118"/>
      <c r="H455" s="120"/>
      <c r="I455" s="218"/>
    </row>
    <row r="456" spans="3:9" ht="14.25" customHeight="1" x14ac:dyDescent="0.3">
      <c r="C456" s="1"/>
      <c r="D456" s="118"/>
      <c r="E456" s="1"/>
      <c r="F456" s="120"/>
      <c r="G456" s="118"/>
      <c r="H456" s="120"/>
      <c r="I456" s="218"/>
    </row>
    <row r="457" spans="3:9" ht="14.25" customHeight="1" x14ac:dyDescent="0.3">
      <c r="C457" s="1"/>
      <c r="D457" s="118"/>
      <c r="E457" s="1"/>
      <c r="F457" s="120"/>
      <c r="G457" s="118"/>
      <c r="H457" s="120"/>
      <c r="I457" s="218"/>
    </row>
    <row r="458" spans="3:9" ht="14.25" customHeight="1" x14ac:dyDescent="0.3">
      <c r="C458" s="1"/>
      <c r="D458" s="118"/>
      <c r="E458" s="1"/>
      <c r="F458" s="120"/>
      <c r="G458" s="118"/>
      <c r="H458" s="120"/>
      <c r="I458" s="218"/>
    </row>
    <row r="459" spans="3:9" ht="14.25" customHeight="1" x14ac:dyDescent="0.3">
      <c r="C459" s="1"/>
      <c r="D459" s="118"/>
      <c r="E459" s="1"/>
      <c r="F459" s="120"/>
      <c r="G459" s="118"/>
      <c r="H459" s="120"/>
      <c r="I459" s="218"/>
    </row>
    <row r="460" spans="3:9" ht="14.25" customHeight="1" x14ac:dyDescent="0.3">
      <c r="C460" s="1"/>
      <c r="D460" s="118"/>
      <c r="E460" s="1"/>
      <c r="F460" s="120"/>
      <c r="G460" s="118"/>
      <c r="H460" s="120"/>
      <c r="I460" s="218"/>
    </row>
    <row r="461" spans="3:9" ht="14.25" customHeight="1" x14ac:dyDescent="0.3">
      <c r="C461" s="1"/>
      <c r="D461" s="118"/>
      <c r="E461" s="1"/>
      <c r="F461" s="120"/>
      <c r="G461" s="118"/>
      <c r="H461" s="120"/>
      <c r="I461" s="218"/>
    </row>
    <row r="462" spans="3:9" ht="14.25" customHeight="1" x14ac:dyDescent="0.3">
      <c r="C462" s="1"/>
      <c r="D462" s="118"/>
      <c r="E462" s="1"/>
      <c r="F462" s="120"/>
      <c r="G462" s="118"/>
      <c r="H462" s="120"/>
      <c r="I462" s="218"/>
    </row>
    <row r="463" spans="3:9" ht="14.25" customHeight="1" x14ac:dyDescent="0.3">
      <c r="C463" s="1"/>
      <c r="D463" s="118"/>
      <c r="E463" s="1"/>
      <c r="F463" s="120"/>
      <c r="G463" s="118"/>
      <c r="H463" s="120"/>
      <c r="I463" s="218"/>
    </row>
    <row r="464" spans="3:9" ht="14.25" customHeight="1" x14ac:dyDescent="0.3">
      <c r="C464" s="1"/>
      <c r="D464" s="118"/>
      <c r="E464" s="1"/>
      <c r="F464" s="120"/>
      <c r="G464" s="118"/>
      <c r="H464" s="120"/>
      <c r="I464" s="218"/>
    </row>
    <row r="465" spans="3:9" ht="14.25" customHeight="1" x14ac:dyDescent="0.3">
      <c r="C465" s="1"/>
      <c r="D465" s="118"/>
      <c r="E465" s="1"/>
      <c r="F465" s="120"/>
      <c r="G465" s="118"/>
      <c r="H465" s="120"/>
      <c r="I465" s="218"/>
    </row>
    <row r="466" spans="3:9" ht="14.25" customHeight="1" x14ac:dyDescent="0.3">
      <c r="C466" s="1"/>
      <c r="D466" s="118"/>
      <c r="E466" s="1"/>
      <c r="F466" s="120"/>
      <c r="G466" s="118"/>
      <c r="H466" s="120"/>
      <c r="I466" s="218"/>
    </row>
    <row r="467" spans="3:9" ht="14.25" customHeight="1" x14ac:dyDescent="0.3">
      <c r="C467" s="1"/>
      <c r="D467" s="118"/>
      <c r="E467" s="1"/>
      <c r="F467" s="120"/>
      <c r="G467" s="118"/>
      <c r="H467" s="120"/>
      <c r="I467" s="218"/>
    </row>
    <row r="468" spans="3:9" ht="14.25" customHeight="1" x14ac:dyDescent="0.3">
      <c r="C468" s="1"/>
      <c r="D468" s="118"/>
      <c r="E468" s="1"/>
      <c r="F468" s="120"/>
      <c r="G468" s="118"/>
      <c r="H468" s="120"/>
      <c r="I468" s="218"/>
    </row>
    <row r="469" spans="3:9" ht="14.25" customHeight="1" x14ac:dyDescent="0.3">
      <c r="C469" s="1"/>
      <c r="D469" s="118"/>
      <c r="E469" s="1"/>
      <c r="F469" s="120"/>
      <c r="G469" s="118"/>
      <c r="H469" s="120"/>
      <c r="I469" s="218"/>
    </row>
    <row r="470" spans="3:9" ht="14.25" customHeight="1" x14ac:dyDescent="0.3">
      <c r="C470" s="1"/>
      <c r="D470" s="118"/>
      <c r="E470" s="1"/>
      <c r="F470" s="120"/>
      <c r="G470" s="118"/>
      <c r="H470" s="120"/>
      <c r="I470" s="218"/>
    </row>
    <row r="471" spans="3:9" ht="14.25" customHeight="1" x14ac:dyDescent="0.3">
      <c r="C471" s="1"/>
      <c r="D471" s="118"/>
      <c r="E471" s="1"/>
      <c r="F471" s="120"/>
      <c r="G471" s="118"/>
      <c r="H471" s="120"/>
      <c r="I471" s="218"/>
    </row>
    <row r="472" spans="3:9" ht="14.25" customHeight="1" x14ac:dyDescent="0.3">
      <c r="C472" s="1"/>
      <c r="D472" s="118"/>
      <c r="E472" s="1"/>
      <c r="F472" s="120"/>
      <c r="G472" s="118"/>
      <c r="H472" s="120"/>
      <c r="I472" s="218"/>
    </row>
    <row r="473" spans="3:9" ht="14.25" customHeight="1" x14ac:dyDescent="0.3">
      <c r="C473" s="1"/>
      <c r="D473" s="118"/>
      <c r="E473" s="1"/>
      <c r="F473" s="120"/>
      <c r="G473" s="118"/>
      <c r="H473" s="120"/>
      <c r="I473" s="218"/>
    </row>
    <row r="474" spans="3:9" ht="14.25" customHeight="1" x14ac:dyDescent="0.3">
      <c r="C474" s="1"/>
      <c r="D474" s="118"/>
      <c r="E474" s="1"/>
      <c r="F474" s="120"/>
      <c r="G474" s="118"/>
      <c r="H474" s="120"/>
      <c r="I474" s="218"/>
    </row>
    <row r="475" spans="3:9" ht="14.25" customHeight="1" x14ac:dyDescent="0.3">
      <c r="C475" s="1"/>
      <c r="D475" s="118"/>
      <c r="E475" s="1"/>
      <c r="F475" s="120"/>
      <c r="G475" s="118"/>
      <c r="H475" s="120"/>
      <c r="I475" s="218"/>
    </row>
    <row r="476" spans="3:9" ht="14.25" customHeight="1" x14ac:dyDescent="0.3">
      <c r="C476" s="1"/>
      <c r="D476" s="118"/>
      <c r="E476" s="1"/>
      <c r="F476" s="120"/>
      <c r="G476" s="118"/>
      <c r="H476" s="120"/>
      <c r="I476" s="218"/>
    </row>
    <row r="477" spans="3:9" ht="14.25" customHeight="1" x14ac:dyDescent="0.3">
      <c r="C477" s="1"/>
      <c r="D477" s="118"/>
      <c r="E477" s="1"/>
      <c r="F477" s="120"/>
      <c r="G477" s="118"/>
      <c r="H477" s="120"/>
      <c r="I477" s="218"/>
    </row>
    <row r="478" spans="3:9" ht="14.25" customHeight="1" x14ac:dyDescent="0.3">
      <c r="C478" s="1"/>
      <c r="D478" s="118"/>
      <c r="E478" s="1"/>
      <c r="F478" s="120"/>
      <c r="G478" s="118"/>
      <c r="H478" s="120"/>
      <c r="I478" s="218"/>
    </row>
    <row r="479" spans="3:9" ht="14.25" customHeight="1" x14ac:dyDescent="0.3">
      <c r="C479" s="1"/>
      <c r="D479" s="118"/>
      <c r="E479" s="1"/>
      <c r="F479" s="120"/>
      <c r="G479" s="118"/>
      <c r="H479" s="120"/>
      <c r="I479" s="218"/>
    </row>
    <row r="480" spans="3:9" ht="14.25" customHeight="1" x14ac:dyDescent="0.3">
      <c r="C480" s="1"/>
      <c r="D480" s="118"/>
      <c r="E480" s="1"/>
      <c r="F480" s="120"/>
      <c r="G480" s="118"/>
      <c r="H480" s="120"/>
      <c r="I480" s="218"/>
    </row>
    <row r="481" spans="3:9" ht="14.25" customHeight="1" x14ac:dyDescent="0.3">
      <c r="C481" s="1"/>
      <c r="D481" s="118"/>
      <c r="E481" s="1"/>
      <c r="F481" s="120"/>
      <c r="G481" s="118"/>
      <c r="H481" s="120"/>
      <c r="I481" s="218"/>
    </row>
    <row r="482" spans="3:9" ht="14.25" customHeight="1" x14ac:dyDescent="0.3">
      <c r="C482" s="1"/>
      <c r="D482" s="118"/>
      <c r="E482" s="1"/>
      <c r="F482" s="120"/>
      <c r="G482" s="118"/>
      <c r="H482" s="120"/>
      <c r="I482" s="218"/>
    </row>
    <row r="483" spans="3:9" ht="14.25" customHeight="1" x14ac:dyDescent="0.3">
      <c r="C483" s="1"/>
      <c r="D483" s="118"/>
      <c r="E483" s="1"/>
      <c r="F483" s="120"/>
      <c r="G483" s="118"/>
      <c r="H483" s="120"/>
      <c r="I483" s="218"/>
    </row>
    <row r="484" spans="3:9" ht="14.25" customHeight="1" x14ac:dyDescent="0.3">
      <c r="C484" s="1"/>
      <c r="D484" s="118"/>
      <c r="E484" s="1"/>
      <c r="F484" s="120"/>
      <c r="G484" s="118"/>
      <c r="H484" s="120"/>
      <c r="I484" s="218"/>
    </row>
    <row r="485" spans="3:9" ht="14.25" customHeight="1" x14ac:dyDescent="0.3">
      <c r="C485" s="1"/>
      <c r="D485" s="118"/>
      <c r="E485" s="1"/>
      <c r="F485" s="120"/>
      <c r="G485" s="118"/>
      <c r="H485" s="120"/>
      <c r="I485" s="218"/>
    </row>
    <row r="486" spans="3:9" ht="14.25" customHeight="1" x14ac:dyDescent="0.3">
      <c r="C486" s="1"/>
      <c r="D486" s="118"/>
      <c r="E486" s="1"/>
      <c r="F486" s="120"/>
      <c r="G486" s="118"/>
      <c r="H486" s="120"/>
      <c r="I486" s="218"/>
    </row>
    <row r="487" spans="3:9" ht="14.25" customHeight="1" x14ac:dyDescent="0.3">
      <c r="C487" s="1"/>
      <c r="D487" s="118"/>
      <c r="E487" s="1"/>
      <c r="F487" s="120"/>
      <c r="G487" s="118"/>
      <c r="H487" s="120"/>
      <c r="I487" s="218"/>
    </row>
    <row r="488" spans="3:9" ht="14.25" customHeight="1" x14ac:dyDescent="0.3">
      <c r="C488" s="1"/>
      <c r="D488" s="118"/>
      <c r="E488" s="1"/>
      <c r="F488" s="120"/>
      <c r="G488" s="118"/>
      <c r="H488" s="120"/>
      <c r="I488" s="218"/>
    </row>
    <row r="489" spans="3:9" ht="14.25" customHeight="1" x14ac:dyDescent="0.3">
      <c r="C489" s="1"/>
      <c r="D489" s="118"/>
      <c r="E489" s="1"/>
      <c r="F489" s="120"/>
      <c r="G489" s="118"/>
      <c r="H489" s="120"/>
      <c r="I489" s="218"/>
    </row>
    <row r="490" spans="3:9" ht="14.25" customHeight="1" x14ac:dyDescent="0.3">
      <c r="C490" s="1"/>
      <c r="D490" s="118"/>
      <c r="E490" s="1"/>
      <c r="F490" s="120"/>
      <c r="G490" s="118"/>
      <c r="H490" s="120"/>
      <c r="I490" s="218"/>
    </row>
    <row r="491" spans="3:9" ht="14.25" customHeight="1" x14ac:dyDescent="0.3">
      <c r="C491" s="1"/>
      <c r="D491" s="118"/>
      <c r="E491" s="1"/>
      <c r="F491" s="120"/>
      <c r="G491" s="118"/>
      <c r="H491" s="120"/>
      <c r="I491" s="218"/>
    </row>
    <row r="492" spans="3:9" ht="14.25" customHeight="1" x14ac:dyDescent="0.3">
      <c r="C492" s="1"/>
      <c r="D492" s="118"/>
      <c r="E492" s="1"/>
      <c r="F492" s="120"/>
      <c r="G492" s="118"/>
      <c r="H492" s="120"/>
      <c r="I492" s="218"/>
    </row>
    <row r="493" spans="3:9" ht="14.25" customHeight="1" x14ac:dyDescent="0.3">
      <c r="C493" s="1"/>
      <c r="D493" s="118"/>
      <c r="E493" s="1"/>
      <c r="F493" s="120"/>
      <c r="G493" s="118"/>
      <c r="H493" s="120"/>
      <c r="I493" s="218"/>
    </row>
    <row r="494" spans="3:9" ht="14.25" customHeight="1" x14ac:dyDescent="0.3">
      <c r="C494" s="1"/>
      <c r="D494" s="118"/>
      <c r="E494" s="1"/>
      <c r="F494" s="120"/>
      <c r="G494" s="118"/>
      <c r="H494" s="120"/>
      <c r="I494" s="218"/>
    </row>
    <row r="495" spans="3:9" ht="14.25" customHeight="1" x14ac:dyDescent="0.3">
      <c r="C495" s="1"/>
      <c r="D495" s="118"/>
      <c r="E495" s="1"/>
      <c r="F495" s="120"/>
      <c r="G495" s="118"/>
      <c r="H495" s="120"/>
      <c r="I495" s="218"/>
    </row>
    <row r="496" spans="3:9" ht="14.25" customHeight="1" x14ac:dyDescent="0.3">
      <c r="C496" s="1"/>
      <c r="D496" s="118"/>
      <c r="E496" s="1"/>
      <c r="F496" s="120"/>
      <c r="G496" s="118"/>
      <c r="H496" s="120"/>
      <c r="I496" s="218"/>
    </row>
    <row r="497" spans="3:9" ht="14.25" customHeight="1" x14ac:dyDescent="0.3">
      <c r="C497" s="1"/>
      <c r="D497" s="118"/>
      <c r="E497" s="1"/>
      <c r="F497" s="120"/>
      <c r="G497" s="118"/>
      <c r="H497" s="120"/>
      <c r="I497" s="218"/>
    </row>
    <row r="498" spans="3:9" ht="14.25" customHeight="1" x14ac:dyDescent="0.3">
      <c r="C498" s="1"/>
      <c r="D498" s="118"/>
      <c r="E498" s="1"/>
      <c r="F498" s="120"/>
      <c r="G498" s="118"/>
      <c r="H498" s="120"/>
      <c r="I498" s="218"/>
    </row>
    <row r="499" spans="3:9" ht="14.25" customHeight="1" x14ac:dyDescent="0.3">
      <c r="C499" s="1"/>
      <c r="D499" s="118"/>
      <c r="E499" s="1"/>
      <c r="F499" s="120"/>
      <c r="G499" s="118"/>
      <c r="H499" s="120"/>
      <c r="I499" s="218"/>
    </row>
    <row r="500" spans="3:9" ht="14.25" customHeight="1" x14ac:dyDescent="0.3">
      <c r="C500" s="1"/>
      <c r="D500" s="118"/>
      <c r="E500" s="1"/>
      <c r="F500" s="120"/>
      <c r="G500" s="118"/>
      <c r="H500" s="120"/>
      <c r="I500" s="218"/>
    </row>
    <row r="501" spans="3:9" ht="14.25" customHeight="1" x14ac:dyDescent="0.3">
      <c r="C501" s="1"/>
      <c r="D501" s="118"/>
      <c r="E501" s="1"/>
      <c r="F501" s="120"/>
      <c r="G501" s="118"/>
      <c r="H501" s="120"/>
      <c r="I501" s="218"/>
    </row>
    <row r="502" spans="3:9" ht="14.25" customHeight="1" x14ac:dyDescent="0.3">
      <c r="C502" s="1"/>
      <c r="D502" s="118"/>
      <c r="E502" s="1"/>
      <c r="F502" s="120"/>
      <c r="G502" s="118"/>
      <c r="H502" s="120"/>
      <c r="I502" s="218"/>
    </row>
    <row r="503" spans="3:9" ht="14.25" customHeight="1" x14ac:dyDescent="0.3">
      <c r="C503" s="1"/>
      <c r="D503" s="118"/>
      <c r="E503" s="1"/>
      <c r="F503" s="120"/>
      <c r="G503" s="118"/>
      <c r="H503" s="120"/>
      <c r="I503" s="218"/>
    </row>
    <row r="504" spans="3:9" ht="14.25" customHeight="1" x14ac:dyDescent="0.3">
      <c r="C504" s="1"/>
      <c r="D504" s="118"/>
      <c r="E504" s="1"/>
      <c r="F504" s="120"/>
      <c r="G504" s="118"/>
      <c r="H504" s="120"/>
      <c r="I504" s="218"/>
    </row>
    <row r="505" spans="3:9" ht="14.25" customHeight="1" x14ac:dyDescent="0.3">
      <c r="C505" s="1"/>
      <c r="D505" s="118"/>
      <c r="E505" s="1"/>
      <c r="F505" s="120"/>
      <c r="G505" s="118"/>
      <c r="H505" s="120"/>
      <c r="I505" s="218"/>
    </row>
    <row r="506" spans="3:9" ht="14.25" customHeight="1" x14ac:dyDescent="0.3">
      <c r="C506" s="1"/>
      <c r="D506" s="118"/>
      <c r="E506" s="1"/>
      <c r="F506" s="120"/>
      <c r="G506" s="118"/>
      <c r="H506" s="120"/>
      <c r="I506" s="218"/>
    </row>
    <row r="507" spans="3:9" ht="14.25" customHeight="1" x14ac:dyDescent="0.3">
      <c r="C507" s="1"/>
      <c r="D507" s="118"/>
      <c r="E507" s="1"/>
      <c r="F507" s="120"/>
      <c r="G507" s="118"/>
      <c r="H507" s="120"/>
      <c r="I507" s="218"/>
    </row>
    <row r="508" spans="3:9" ht="14.25" customHeight="1" x14ac:dyDescent="0.3">
      <c r="C508" s="1"/>
      <c r="D508" s="118"/>
      <c r="E508" s="1"/>
      <c r="F508" s="120"/>
      <c r="G508" s="118"/>
      <c r="H508" s="120"/>
      <c r="I508" s="218"/>
    </row>
    <row r="509" spans="3:9" ht="14.25" customHeight="1" x14ac:dyDescent="0.3">
      <c r="C509" s="1"/>
      <c r="D509" s="118"/>
      <c r="E509" s="1"/>
      <c r="F509" s="120"/>
      <c r="G509" s="118"/>
      <c r="H509" s="120"/>
      <c r="I509" s="218"/>
    </row>
    <row r="510" spans="3:9" ht="14.25" customHeight="1" x14ac:dyDescent="0.3">
      <c r="C510" s="1"/>
      <c r="D510" s="118"/>
      <c r="E510" s="1"/>
      <c r="F510" s="120"/>
      <c r="G510" s="118"/>
      <c r="H510" s="120"/>
      <c r="I510" s="218"/>
    </row>
    <row r="511" spans="3:9" ht="14.25" customHeight="1" x14ac:dyDescent="0.3">
      <c r="C511" s="1"/>
      <c r="D511" s="118"/>
      <c r="E511" s="1"/>
      <c r="F511" s="120"/>
      <c r="G511" s="118"/>
      <c r="H511" s="120"/>
      <c r="I511" s="218"/>
    </row>
    <row r="512" spans="3:9" ht="14.25" customHeight="1" x14ac:dyDescent="0.3">
      <c r="C512" s="1"/>
      <c r="D512" s="118"/>
      <c r="E512" s="1"/>
      <c r="F512" s="120"/>
      <c r="G512" s="118"/>
      <c r="H512" s="120"/>
      <c r="I512" s="218"/>
    </row>
    <row r="513" spans="3:9" ht="14.25" customHeight="1" x14ac:dyDescent="0.3">
      <c r="C513" s="1"/>
      <c r="D513" s="118"/>
      <c r="E513" s="1"/>
      <c r="F513" s="120"/>
      <c r="G513" s="118"/>
      <c r="H513" s="120"/>
      <c r="I513" s="218"/>
    </row>
    <row r="514" spans="3:9" ht="14.25" customHeight="1" x14ac:dyDescent="0.3">
      <c r="C514" s="1"/>
      <c r="D514" s="118"/>
      <c r="E514" s="1"/>
      <c r="F514" s="120"/>
      <c r="G514" s="118"/>
      <c r="H514" s="120"/>
      <c r="I514" s="218"/>
    </row>
    <row r="515" spans="3:9" ht="14.25" customHeight="1" x14ac:dyDescent="0.3">
      <c r="C515" s="1"/>
      <c r="D515" s="118"/>
      <c r="E515" s="1"/>
      <c r="F515" s="120"/>
      <c r="G515" s="118"/>
      <c r="H515" s="120"/>
      <c r="I515" s="218"/>
    </row>
    <row r="516" spans="3:9" ht="14.25" customHeight="1" x14ac:dyDescent="0.3">
      <c r="C516" s="1"/>
      <c r="D516" s="118"/>
      <c r="E516" s="1"/>
      <c r="F516" s="120"/>
      <c r="G516" s="118"/>
      <c r="H516" s="120"/>
      <c r="I516" s="218"/>
    </row>
    <row r="517" spans="3:9" ht="14.25" customHeight="1" x14ac:dyDescent="0.3">
      <c r="C517" s="1"/>
      <c r="D517" s="118"/>
      <c r="E517" s="1"/>
      <c r="F517" s="120"/>
      <c r="G517" s="118"/>
      <c r="H517" s="120"/>
      <c r="I517" s="218"/>
    </row>
    <row r="518" spans="3:9" ht="14.25" customHeight="1" x14ac:dyDescent="0.3">
      <c r="C518" s="1"/>
      <c r="D518" s="118"/>
      <c r="E518" s="1"/>
      <c r="F518" s="120"/>
      <c r="G518" s="118"/>
      <c r="H518" s="120"/>
      <c r="I518" s="218"/>
    </row>
    <row r="519" spans="3:9" ht="14.25" customHeight="1" x14ac:dyDescent="0.3">
      <c r="C519" s="1"/>
      <c r="D519" s="118"/>
      <c r="E519" s="1"/>
      <c r="F519" s="120"/>
      <c r="G519" s="118"/>
      <c r="H519" s="120"/>
      <c r="I519" s="218"/>
    </row>
    <row r="520" spans="3:9" ht="14.25" customHeight="1" x14ac:dyDescent="0.3">
      <c r="C520" s="1"/>
      <c r="D520" s="118"/>
      <c r="E520" s="1"/>
      <c r="F520" s="120"/>
      <c r="G520" s="118"/>
      <c r="H520" s="120"/>
      <c r="I520" s="218"/>
    </row>
    <row r="521" spans="3:9" ht="14.25" customHeight="1" x14ac:dyDescent="0.3">
      <c r="C521" s="1"/>
      <c r="D521" s="118"/>
      <c r="E521" s="1"/>
      <c r="F521" s="120"/>
      <c r="G521" s="118"/>
      <c r="H521" s="120"/>
      <c r="I521" s="218"/>
    </row>
    <row r="522" spans="3:9" ht="14.25" customHeight="1" x14ac:dyDescent="0.3">
      <c r="C522" s="1"/>
      <c r="D522" s="118"/>
      <c r="E522" s="1"/>
      <c r="F522" s="120"/>
      <c r="G522" s="118"/>
      <c r="H522" s="120"/>
      <c r="I522" s="218"/>
    </row>
    <row r="523" spans="3:9" ht="14.25" customHeight="1" x14ac:dyDescent="0.3">
      <c r="C523" s="1"/>
      <c r="D523" s="118"/>
      <c r="E523" s="1"/>
      <c r="F523" s="120"/>
      <c r="G523" s="118"/>
      <c r="H523" s="120"/>
      <c r="I523" s="218"/>
    </row>
    <row r="524" spans="3:9" ht="14.25" customHeight="1" x14ac:dyDescent="0.3">
      <c r="C524" s="1"/>
      <c r="D524" s="118"/>
      <c r="E524" s="1"/>
      <c r="F524" s="120"/>
      <c r="G524" s="118"/>
      <c r="H524" s="120"/>
      <c r="I524" s="218"/>
    </row>
    <row r="525" spans="3:9" ht="14.25" customHeight="1" x14ac:dyDescent="0.3">
      <c r="C525" s="1"/>
      <c r="D525" s="118"/>
      <c r="E525" s="1"/>
      <c r="F525" s="120"/>
      <c r="G525" s="118"/>
      <c r="H525" s="120"/>
      <c r="I525" s="218"/>
    </row>
    <row r="526" spans="3:9" ht="14.25" customHeight="1" x14ac:dyDescent="0.3">
      <c r="C526" s="1"/>
      <c r="D526" s="118"/>
      <c r="E526" s="1"/>
      <c r="F526" s="120"/>
      <c r="G526" s="118"/>
      <c r="H526" s="120"/>
      <c r="I526" s="218"/>
    </row>
    <row r="527" spans="3:9" ht="14.25" customHeight="1" x14ac:dyDescent="0.3">
      <c r="C527" s="1"/>
      <c r="D527" s="118"/>
      <c r="E527" s="1"/>
      <c r="F527" s="120"/>
      <c r="G527" s="118"/>
      <c r="H527" s="120"/>
      <c r="I527" s="218"/>
    </row>
    <row r="528" spans="3:9" ht="14.25" customHeight="1" x14ac:dyDescent="0.3">
      <c r="C528" s="1"/>
      <c r="D528" s="118"/>
      <c r="E528" s="1"/>
      <c r="F528" s="120"/>
      <c r="G528" s="118"/>
      <c r="H528" s="120"/>
      <c r="I528" s="218"/>
    </row>
    <row r="529" spans="3:9" ht="14.25" customHeight="1" x14ac:dyDescent="0.3">
      <c r="C529" s="1"/>
      <c r="D529" s="118"/>
      <c r="E529" s="1"/>
      <c r="F529" s="120"/>
      <c r="G529" s="118"/>
      <c r="H529" s="120"/>
      <c r="I529" s="218"/>
    </row>
    <row r="530" spans="3:9" ht="14.25" customHeight="1" x14ac:dyDescent="0.3">
      <c r="C530" s="1"/>
      <c r="D530" s="118"/>
      <c r="E530" s="1"/>
      <c r="F530" s="120"/>
      <c r="G530" s="118"/>
      <c r="H530" s="120"/>
      <c r="I530" s="218"/>
    </row>
    <row r="531" spans="3:9" ht="14.25" customHeight="1" x14ac:dyDescent="0.3">
      <c r="C531" s="1"/>
      <c r="D531" s="118"/>
      <c r="E531" s="1"/>
      <c r="F531" s="120"/>
      <c r="G531" s="118"/>
      <c r="H531" s="120"/>
      <c r="I531" s="218"/>
    </row>
    <row r="532" spans="3:9" ht="14.25" customHeight="1" x14ac:dyDescent="0.3">
      <c r="C532" s="1"/>
      <c r="D532" s="118"/>
      <c r="E532" s="1"/>
      <c r="F532" s="120"/>
      <c r="G532" s="118"/>
      <c r="H532" s="120"/>
      <c r="I532" s="218"/>
    </row>
    <row r="533" spans="3:9" ht="14.25" customHeight="1" x14ac:dyDescent="0.3">
      <c r="C533" s="1"/>
      <c r="D533" s="118"/>
      <c r="E533" s="1"/>
      <c r="F533" s="120"/>
      <c r="G533" s="118"/>
      <c r="H533" s="120"/>
      <c r="I533" s="218"/>
    </row>
    <row r="534" spans="3:9" ht="14.25" customHeight="1" x14ac:dyDescent="0.3">
      <c r="C534" s="1"/>
      <c r="D534" s="118"/>
      <c r="E534" s="1"/>
      <c r="F534" s="120"/>
      <c r="G534" s="118"/>
      <c r="H534" s="120"/>
      <c r="I534" s="218"/>
    </row>
    <row r="535" spans="3:9" ht="14.25" customHeight="1" x14ac:dyDescent="0.3">
      <c r="C535" s="1"/>
      <c r="D535" s="118"/>
      <c r="E535" s="1"/>
      <c r="F535" s="120"/>
      <c r="G535" s="118"/>
      <c r="H535" s="120"/>
      <c r="I535" s="218"/>
    </row>
    <row r="536" spans="3:9" ht="14.25" customHeight="1" x14ac:dyDescent="0.3">
      <c r="C536" s="1"/>
      <c r="D536" s="118"/>
      <c r="E536" s="1"/>
      <c r="F536" s="120"/>
      <c r="G536" s="118"/>
      <c r="H536" s="120"/>
      <c r="I536" s="218"/>
    </row>
    <row r="537" spans="3:9" ht="14.25" customHeight="1" x14ac:dyDescent="0.3">
      <c r="C537" s="1"/>
      <c r="D537" s="118"/>
      <c r="E537" s="1"/>
      <c r="F537" s="120"/>
      <c r="G537" s="118"/>
      <c r="H537" s="120"/>
      <c r="I537" s="218"/>
    </row>
    <row r="538" spans="3:9" ht="14.25" customHeight="1" x14ac:dyDescent="0.3">
      <c r="C538" s="1"/>
      <c r="D538" s="118"/>
      <c r="E538" s="1"/>
      <c r="F538" s="120"/>
      <c r="G538" s="118"/>
      <c r="H538" s="120"/>
      <c r="I538" s="218"/>
    </row>
    <row r="539" spans="3:9" ht="14.25" customHeight="1" x14ac:dyDescent="0.3">
      <c r="C539" s="1"/>
      <c r="D539" s="118"/>
      <c r="E539" s="1"/>
      <c r="F539" s="120"/>
      <c r="G539" s="118"/>
      <c r="H539" s="120"/>
      <c r="I539" s="218"/>
    </row>
    <row r="540" spans="3:9" ht="14.25" customHeight="1" x14ac:dyDescent="0.3">
      <c r="C540" s="1"/>
      <c r="D540" s="118"/>
      <c r="E540" s="1"/>
      <c r="F540" s="120"/>
      <c r="G540" s="118"/>
      <c r="H540" s="120"/>
      <c r="I540" s="218"/>
    </row>
    <row r="541" spans="3:9" ht="14.25" customHeight="1" x14ac:dyDescent="0.3">
      <c r="C541" s="1"/>
      <c r="D541" s="118"/>
      <c r="E541" s="1"/>
      <c r="F541" s="120"/>
      <c r="G541" s="118"/>
      <c r="H541" s="120"/>
      <c r="I541" s="218"/>
    </row>
    <row r="542" spans="3:9" ht="14.25" customHeight="1" x14ac:dyDescent="0.3">
      <c r="C542" s="1"/>
      <c r="D542" s="118"/>
      <c r="E542" s="1"/>
      <c r="F542" s="120"/>
      <c r="G542" s="118"/>
      <c r="H542" s="120"/>
      <c r="I542" s="218"/>
    </row>
    <row r="543" spans="3:9" ht="14.25" customHeight="1" x14ac:dyDescent="0.3">
      <c r="C543" s="1"/>
      <c r="D543" s="118"/>
      <c r="E543" s="1"/>
      <c r="F543" s="120"/>
      <c r="G543" s="118"/>
      <c r="H543" s="120"/>
      <c r="I543" s="218"/>
    </row>
    <row r="544" spans="3:9" ht="14.25" customHeight="1" x14ac:dyDescent="0.3">
      <c r="C544" s="1"/>
      <c r="D544" s="118"/>
      <c r="E544" s="1"/>
      <c r="F544" s="120"/>
      <c r="G544" s="118"/>
      <c r="H544" s="120"/>
      <c r="I544" s="218"/>
    </row>
    <row r="545" spans="3:9" ht="14.25" customHeight="1" x14ac:dyDescent="0.3">
      <c r="C545" s="1"/>
      <c r="D545" s="118"/>
      <c r="E545" s="1"/>
      <c r="F545" s="120"/>
      <c r="G545" s="118"/>
      <c r="H545" s="120"/>
      <c r="I545" s="218"/>
    </row>
    <row r="546" spans="3:9" ht="14.25" customHeight="1" x14ac:dyDescent="0.3">
      <c r="C546" s="1"/>
      <c r="D546" s="118"/>
      <c r="E546" s="1"/>
      <c r="F546" s="120"/>
      <c r="G546" s="118"/>
      <c r="H546" s="120"/>
      <c r="I546" s="218"/>
    </row>
    <row r="547" spans="3:9" ht="14.25" customHeight="1" x14ac:dyDescent="0.3">
      <c r="C547" s="1"/>
      <c r="D547" s="118"/>
      <c r="E547" s="1"/>
      <c r="F547" s="120"/>
      <c r="G547" s="118"/>
      <c r="H547" s="120"/>
      <c r="I547" s="218"/>
    </row>
    <row r="548" spans="3:9" ht="14.25" customHeight="1" x14ac:dyDescent="0.3">
      <c r="C548" s="1"/>
      <c r="D548" s="118"/>
      <c r="E548" s="1"/>
      <c r="F548" s="120"/>
      <c r="G548" s="118"/>
      <c r="H548" s="120"/>
      <c r="I548" s="218"/>
    </row>
    <row r="549" spans="3:9" ht="14.25" customHeight="1" x14ac:dyDescent="0.3">
      <c r="C549" s="1"/>
      <c r="D549" s="118"/>
      <c r="E549" s="1"/>
      <c r="F549" s="120"/>
      <c r="G549" s="118"/>
      <c r="H549" s="120"/>
      <c r="I549" s="218"/>
    </row>
    <row r="550" spans="3:9" ht="14.25" customHeight="1" x14ac:dyDescent="0.3">
      <c r="C550" s="1"/>
      <c r="D550" s="118"/>
      <c r="E550" s="1"/>
      <c r="F550" s="120"/>
      <c r="G550" s="118"/>
      <c r="H550" s="120"/>
      <c r="I550" s="218"/>
    </row>
    <row r="551" spans="3:9" ht="14.25" customHeight="1" x14ac:dyDescent="0.3">
      <c r="C551" s="1"/>
      <c r="D551" s="118"/>
      <c r="E551" s="1"/>
      <c r="F551" s="120"/>
      <c r="G551" s="118"/>
      <c r="H551" s="120"/>
      <c r="I551" s="218"/>
    </row>
    <row r="552" spans="3:9" ht="14.25" customHeight="1" x14ac:dyDescent="0.3">
      <c r="C552" s="1"/>
      <c r="D552" s="118"/>
      <c r="E552" s="1"/>
      <c r="F552" s="120"/>
      <c r="G552" s="118"/>
      <c r="H552" s="120"/>
      <c r="I552" s="218"/>
    </row>
    <row r="553" spans="3:9" ht="14.25" customHeight="1" x14ac:dyDescent="0.3">
      <c r="C553" s="1"/>
      <c r="D553" s="118"/>
      <c r="E553" s="1"/>
      <c r="F553" s="120"/>
      <c r="G553" s="118"/>
      <c r="H553" s="120"/>
      <c r="I553" s="218"/>
    </row>
    <row r="554" spans="3:9" ht="14.25" customHeight="1" x14ac:dyDescent="0.3">
      <c r="C554" s="1"/>
      <c r="D554" s="118"/>
      <c r="E554" s="1"/>
      <c r="F554" s="120"/>
      <c r="G554" s="118"/>
      <c r="H554" s="120"/>
      <c r="I554" s="218"/>
    </row>
    <row r="555" spans="3:9" ht="14.25" customHeight="1" x14ac:dyDescent="0.3">
      <c r="C555" s="1"/>
      <c r="D555" s="118"/>
      <c r="E555" s="1"/>
      <c r="F555" s="120"/>
      <c r="G555" s="118"/>
      <c r="H555" s="120"/>
      <c r="I555" s="218"/>
    </row>
    <row r="556" spans="3:9" ht="14.25" customHeight="1" x14ac:dyDescent="0.3">
      <c r="C556" s="1"/>
      <c r="D556" s="118"/>
      <c r="E556" s="1"/>
      <c r="F556" s="120"/>
      <c r="G556" s="118"/>
      <c r="H556" s="120"/>
      <c r="I556" s="218"/>
    </row>
    <row r="557" spans="3:9" ht="14.25" customHeight="1" x14ac:dyDescent="0.3">
      <c r="C557" s="1"/>
      <c r="D557" s="118"/>
      <c r="E557" s="1"/>
      <c r="F557" s="120"/>
      <c r="G557" s="118"/>
      <c r="H557" s="120"/>
      <c r="I557" s="218"/>
    </row>
    <row r="558" spans="3:9" ht="14.25" customHeight="1" x14ac:dyDescent="0.3">
      <c r="C558" s="1"/>
      <c r="D558" s="118"/>
      <c r="E558" s="1"/>
      <c r="F558" s="120"/>
      <c r="G558" s="118"/>
      <c r="H558" s="120"/>
      <c r="I558" s="218"/>
    </row>
    <row r="559" spans="3:9" ht="14.25" customHeight="1" x14ac:dyDescent="0.3">
      <c r="C559" s="1"/>
      <c r="D559" s="118"/>
      <c r="E559" s="1"/>
      <c r="F559" s="120"/>
      <c r="G559" s="118"/>
      <c r="H559" s="120"/>
      <c r="I559" s="218"/>
    </row>
    <row r="560" spans="3:9" ht="14.25" customHeight="1" x14ac:dyDescent="0.3">
      <c r="C560" s="1"/>
      <c r="D560" s="118"/>
      <c r="E560" s="1"/>
      <c r="F560" s="120"/>
      <c r="G560" s="118"/>
      <c r="H560" s="120"/>
      <c r="I560" s="218"/>
    </row>
    <row r="561" spans="3:9" ht="14.25" customHeight="1" x14ac:dyDescent="0.3">
      <c r="C561" s="1"/>
      <c r="D561" s="118"/>
      <c r="E561" s="1"/>
      <c r="F561" s="120"/>
      <c r="G561" s="118"/>
      <c r="H561" s="120"/>
      <c r="I561" s="218"/>
    </row>
    <row r="562" spans="3:9" ht="14.25" customHeight="1" x14ac:dyDescent="0.3">
      <c r="C562" s="1"/>
      <c r="D562" s="118"/>
      <c r="E562" s="1"/>
      <c r="F562" s="120"/>
      <c r="G562" s="118"/>
      <c r="H562" s="120"/>
      <c r="I562" s="218"/>
    </row>
    <row r="563" spans="3:9" ht="14.25" customHeight="1" x14ac:dyDescent="0.3">
      <c r="C563" s="1"/>
      <c r="D563" s="118"/>
      <c r="E563" s="1"/>
      <c r="F563" s="120"/>
      <c r="G563" s="118"/>
      <c r="H563" s="120"/>
      <c r="I563" s="218"/>
    </row>
    <row r="564" spans="3:9" ht="14.25" customHeight="1" x14ac:dyDescent="0.3">
      <c r="C564" s="1"/>
      <c r="D564" s="118"/>
      <c r="E564" s="1"/>
      <c r="F564" s="120"/>
      <c r="G564" s="118"/>
      <c r="H564" s="120"/>
      <c r="I564" s="218"/>
    </row>
    <row r="565" spans="3:9" ht="14.25" customHeight="1" x14ac:dyDescent="0.3">
      <c r="C565" s="1"/>
      <c r="D565" s="118"/>
      <c r="E565" s="1"/>
      <c r="F565" s="120"/>
      <c r="G565" s="118"/>
      <c r="H565" s="120"/>
      <c r="I565" s="218"/>
    </row>
    <row r="566" spans="3:9" ht="14.25" customHeight="1" x14ac:dyDescent="0.3">
      <c r="C566" s="1"/>
      <c r="D566" s="118"/>
      <c r="E566" s="1"/>
      <c r="F566" s="120"/>
      <c r="G566" s="118"/>
      <c r="H566" s="120"/>
      <c r="I566" s="218"/>
    </row>
    <row r="567" spans="3:9" ht="14.25" customHeight="1" x14ac:dyDescent="0.3">
      <c r="C567" s="1"/>
      <c r="D567" s="118"/>
      <c r="E567" s="1"/>
      <c r="F567" s="120"/>
      <c r="G567" s="118"/>
      <c r="H567" s="120"/>
      <c r="I567" s="218"/>
    </row>
    <row r="568" spans="3:9" ht="14.25" customHeight="1" x14ac:dyDescent="0.3">
      <c r="C568" s="1"/>
      <c r="D568" s="118"/>
      <c r="E568" s="1"/>
      <c r="F568" s="120"/>
      <c r="G568" s="118"/>
      <c r="H568" s="120"/>
      <c r="I568" s="218"/>
    </row>
    <row r="569" spans="3:9" ht="14.25" customHeight="1" x14ac:dyDescent="0.3">
      <c r="C569" s="1"/>
      <c r="D569" s="118"/>
      <c r="E569" s="1"/>
      <c r="F569" s="120"/>
      <c r="G569" s="118"/>
      <c r="H569" s="120"/>
      <c r="I569" s="218"/>
    </row>
    <row r="570" spans="3:9" ht="14.25" customHeight="1" x14ac:dyDescent="0.3">
      <c r="C570" s="1"/>
      <c r="D570" s="118"/>
      <c r="E570" s="1"/>
      <c r="F570" s="120"/>
      <c r="G570" s="118"/>
      <c r="H570" s="120"/>
      <c r="I570" s="218"/>
    </row>
    <row r="571" spans="3:9" ht="14.25" customHeight="1" x14ac:dyDescent="0.3">
      <c r="C571" s="1"/>
      <c r="D571" s="118"/>
      <c r="E571" s="1"/>
      <c r="F571" s="120"/>
      <c r="G571" s="118"/>
      <c r="H571" s="120"/>
      <c r="I571" s="218"/>
    </row>
    <row r="572" spans="3:9" ht="14.25" customHeight="1" x14ac:dyDescent="0.3">
      <c r="C572" s="1"/>
      <c r="D572" s="118"/>
      <c r="E572" s="1"/>
      <c r="F572" s="120"/>
      <c r="G572" s="118"/>
      <c r="H572" s="120"/>
      <c r="I572" s="218"/>
    </row>
    <row r="573" spans="3:9" ht="14.25" customHeight="1" x14ac:dyDescent="0.3">
      <c r="C573" s="1"/>
      <c r="D573" s="118"/>
      <c r="E573" s="1"/>
      <c r="F573" s="120"/>
      <c r="G573" s="118"/>
      <c r="H573" s="120"/>
      <c r="I573" s="218"/>
    </row>
    <row r="574" spans="3:9" ht="14.25" customHeight="1" x14ac:dyDescent="0.3">
      <c r="C574" s="1"/>
      <c r="D574" s="118"/>
      <c r="E574" s="1"/>
      <c r="F574" s="120"/>
      <c r="G574" s="118"/>
      <c r="H574" s="120"/>
      <c r="I574" s="218"/>
    </row>
    <row r="575" spans="3:9" ht="14.25" customHeight="1" x14ac:dyDescent="0.3">
      <c r="C575" s="1"/>
      <c r="D575" s="118"/>
      <c r="E575" s="1"/>
      <c r="F575" s="120"/>
      <c r="G575" s="118"/>
      <c r="H575" s="120"/>
      <c r="I575" s="218"/>
    </row>
    <row r="576" spans="3:9" ht="14.25" customHeight="1" x14ac:dyDescent="0.3">
      <c r="C576" s="1"/>
      <c r="D576" s="118"/>
      <c r="E576" s="1"/>
      <c r="F576" s="120"/>
      <c r="G576" s="118"/>
      <c r="H576" s="120"/>
      <c r="I576" s="218"/>
    </row>
    <row r="577" spans="3:9" ht="14.25" customHeight="1" x14ac:dyDescent="0.3">
      <c r="C577" s="1"/>
      <c r="D577" s="118"/>
      <c r="E577" s="1"/>
      <c r="F577" s="120"/>
      <c r="G577" s="118"/>
      <c r="H577" s="120"/>
      <c r="I577" s="218"/>
    </row>
    <row r="578" spans="3:9" ht="14.25" customHeight="1" x14ac:dyDescent="0.3">
      <c r="C578" s="1"/>
      <c r="D578" s="118"/>
      <c r="E578" s="1"/>
      <c r="F578" s="120"/>
      <c r="G578" s="118"/>
      <c r="H578" s="120"/>
      <c r="I578" s="218"/>
    </row>
    <row r="579" spans="3:9" ht="14.25" customHeight="1" x14ac:dyDescent="0.3">
      <c r="C579" s="1"/>
      <c r="D579" s="118"/>
      <c r="E579" s="1"/>
      <c r="F579" s="120"/>
      <c r="G579" s="118"/>
      <c r="H579" s="120"/>
      <c r="I579" s="218"/>
    </row>
    <row r="580" spans="3:9" ht="14.25" customHeight="1" x14ac:dyDescent="0.3">
      <c r="C580" s="1"/>
      <c r="D580" s="118"/>
      <c r="E580" s="1"/>
      <c r="F580" s="120"/>
      <c r="G580" s="118"/>
      <c r="H580" s="120"/>
      <c r="I580" s="218"/>
    </row>
    <row r="581" spans="3:9" ht="14.25" customHeight="1" x14ac:dyDescent="0.3">
      <c r="C581" s="1"/>
      <c r="D581" s="118"/>
      <c r="E581" s="1"/>
      <c r="F581" s="120"/>
      <c r="G581" s="118"/>
      <c r="H581" s="120"/>
      <c r="I581" s="218"/>
    </row>
    <row r="582" spans="3:9" ht="14.25" customHeight="1" x14ac:dyDescent="0.3">
      <c r="C582" s="1"/>
      <c r="D582" s="118"/>
      <c r="E582" s="1"/>
      <c r="F582" s="120"/>
      <c r="G582" s="118"/>
      <c r="H582" s="120"/>
      <c r="I582" s="218"/>
    </row>
    <row r="583" spans="3:9" ht="14.25" customHeight="1" x14ac:dyDescent="0.3">
      <c r="C583" s="1"/>
      <c r="D583" s="118"/>
      <c r="E583" s="1"/>
      <c r="F583" s="120"/>
      <c r="G583" s="118"/>
      <c r="H583" s="120"/>
      <c r="I583" s="218"/>
    </row>
    <row r="584" spans="3:9" ht="14.25" customHeight="1" x14ac:dyDescent="0.3">
      <c r="C584" s="1"/>
      <c r="D584" s="118"/>
      <c r="E584" s="1"/>
      <c r="F584" s="120"/>
      <c r="G584" s="118"/>
      <c r="H584" s="120"/>
      <c r="I584" s="218"/>
    </row>
    <row r="585" spans="3:9" ht="14.25" customHeight="1" x14ac:dyDescent="0.3">
      <c r="C585" s="1"/>
      <c r="D585" s="118"/>
      <c r="E585" s="1"/>
      <c r="F585" s="120"/>
      <c r="G585" s="118"/>
      <c r="H585" s="120"/>
      <c r="I585" s="218"/>
    </row>
    <row r="586" spans="3:9" ht="14.25" customHeight="1" x14ac:dyDescent="0.3">
      <c r="C586" s="1"/>
      <c r="D586" s="118"/>
      <c r="E586" s="1"/>
      <c r="F586" s="120"/>
      <c r="G586" s="118"/>
      <c r="H586" s="120"/>
      <c r="I586" s="218"/>
    </row>
    <row r="587" spans="3:9" ht="14.25" customHeight="1" x14ac:dyDescent="0.3">
      <c r="C587" s="1"/>
      <c r="D587" s="118"/>
      <c r="E587" s="1"/>
      <c r="F587" s="120"/>
      <c r="G587" s="118"/>
      <c r="H587" s="120"/>
      <c r="I587" s="218"/>
    </row>
    <row r="588" spans="3:9" ht="14.25" customHeight="1" x14ac:dyDescent="0.3">
      <c r="C588" s="1"/>
      <c r="D588" s="118"/>
      <c r="E588" s="1"/>
      <c r="F588" s="120"/>
      <c r="G588" s="118"/>
      <c r="H588" s="120"/>
      <c r="I588" s="218"/>
    </row>
    <row r="589" spans="3:9" ht="14.25" customHeight="1" x14ac:dyDescent="0.3">
      <c r="C589" s="1"/>
      <c r="D589" s="118"/>
      <c r="E589" s="1"/>
      <c r="F589" s="120"/>
      <c r="G589" s="118"/>
      <c r="H589" s="120"/>
      <c r="I589" s="218"/>
    </row>
    <row r="590" spans="3:9" ht="14.25" customHeight="1" x14ac:dyDescent="0.3">
      <c r="C590" s="1"/>
      <c r="D590" s="118"/>
      <c r="E590" s="1"/>
      <c r="F590" s="120"/>
      <c r="G590" s="118"/>
      <c r="H590" s="120"/>
      <c r="I590" s="218"/>
    </row>
    <row r="591" spans="3:9" ht="14.25" customHeight="1" x14ac:dyDescent="0.3">
      <c r="C591" s="1"/>
      <c r="D591" s="118"/>
      <c r="E591" s="1"/>
      <c r="F591" s="120"/>
      <c r="G591" s="118"/>
      <c r="H591" s="120"/>
      <c r="I591" s="218"/>
    </row>
    <row r="592" spans="3:9" ht="14.25" customHeight="1" x14ac:dyDescent="0.3">
      <c r="C592" s="1"/>
      <c r="D592" s="118"/>
      <c r="E592" s="1"/>
      <c r="F592" s="120"/>
      <c r="G592" s="118"/>
      <c r="H592" s="120"/>
      <c r="I592" s="218"/>
    </row>
    <row r="593" spans="3:9" ht="14.25" customHeight="1" x14ac:dyDescent="0.3">
      <c r="C593" s="1"/>
      <c r="D593" s="118"/>
      <c r="E593" s="1"/>
      <c r="F593" s="120"/>
      <c r="G593" s="118"/>
      <c r="H593" s="120"/>
      <c r="I593" s="218"/>
    </row>
    <row r="594" spans="3:9" ht="14.25" customHeight="1" x14ac:dyDescent="0.3">
      <c r="C594" s="1"/>
      <c r="D594" s="118"/>
      <c r="E594" s="1"/>
      <c r="F594" s="120"/>
      <c r="G594" s="118"/>
      <c r="H594" s="120"/>
      <c r="I594" s="218"/>
    </row>
    <row r="595" spans="3:9" ht="14.25" customHeight="1" x14ac:dyDescent="0.3">
      <c r="C595" s="1"/>
      <c r="D595" s="118"/>
      <c r="E595" s="1"/>
      <c r="F595" s="120"/>
      <c r="G595" s="118"/>
      <c r="H595" s="120"/>
      <c r="I595" s="218"/>
    </row>
    <row r="596" spans="3:9" ht="14.25" customHeight="1" x14ac:dyDescent="0.3">
      <c r="C596" s="1"/>
      <c r="D596" s="118"/>
      <c r="E596" s="1"/>
      <c r="F596" s="120"/>
      <c r="G596" s="118"/>
      <c r="H596" s="120"/>
      <c r="I596" s="218"/>
    </row>
    <row r="597" spans="3:9" ht="14.25" customHeight="1" x14ac:dyDescent="0.3">
      <c r="C597" s="1"/>
      <c r="D597" s="118"/>
      <c r="E597" s="1"/>
      <c r="F597" s="120"/>
      <c r="G597" s="118"/>
      <c r="H597" s="120"/>
      <c r="I597" s="218"/>
    </row>
    <row r="598" spans="3:9" ht="14.25" customHeight="1" x14ac:dyDescent="0.3">
      <c r="C598" s="1"/>
      <c r="D598" s="118"/>
      <c r="E598" s="1"/>
      <c r="F598" s="120"/>
      <c r="G598" s="118"/>
      <c r="H598" s="120"/>
      <c r="I598" s="218"/>
    </row>
    <row r="599" spans="3:9" ht="14.25" customHeight="1" x14ac:dyDescent="0.3">
      <c r="C599" s="1"/>
      <c r="D599" s="118"/>
      <c r="E599" s="1"/>
      <c r="F599" s="120"/>
      <c r="G599" s="118"/>
      <c r="H599" s="120"/>
      <c r="I599" s="218"/>
    </row>
    <row r="600" spans="3:9" ht="14.25" customHeight="1" x14ac:dyDescent="0.3">
      <c r="C600" s="1"/>
      <c r="D600" s="118"/>
      <c r="E600" s="1"/>
      <c r="F600" s="120"/>
      <c r="G600" s="118"/>
      <c r="H600" s="120"/>
      <c r="I600" s="218"/>
    </row>
    <row r="601" spans="3:9" ht="14.25" customHeight="1" x14ac:dyDescent="0.3">
      <c r="C601" s="1"/>
      <c r="D601" s="118"/>
      <c r="E601" s="1"/>
      <c r="F601" s="120"/>
      <c r="G601" s="118"/>
      <c r="H601" s="120"/>
      <c r="I601" s="218"/>
    </row>
    <row r="602" spans="3:9" ht="14.25" customHeight="1" x14ac:dyDescent="0.3">
      <c r="C602" s="1"/>
      <c r="D602" s="118"/>
      <c r="E602" s="1"/>
      <c r="F602" s="120"/>
      <c r="G602" s="118"/>
      <c r="H602" s="120"/>
      <c r="I602" s="218"/>
    </row>
    <row r="603" spans="3:9" ht="14.25" customHeight="1" x14ac:dyDescent="0.3">
      <c r="C603" s="1"/>
      <c r="D603" s="118"/>
      <c r="E603" s="1"/>
      <c r="F603" s="120"/>
      <c r="G603" s="118"/>
      <c r="H603" s="120"/>
      <c r="I603" s="218"/>
    </row>
    <row r="604" spans="3:9" ht="14.25" customHeight="1" x14ac:dyDescent="0.3">
      <c r="C604" s="1"/>
      <c r="D604" s="118"/>
      <c r="E604" s="1"/>
      <c r="F604" s="120"/>
      <c r="G604" s="118"/>
      <c r="H604" s="120"/>
      <c r="I604" s="218"/>
    </row>
    <row r="605" spans="3:9" ht="14.25" customHeight="1" x14ac:dyDescent="0.3">
      <c r="C605" s="1"/>
      <c r="D605" s="118"/>
      <c r="E605" s="1"/>
      <c r="F605" s="120"/>
      <c r="G605" s="118"/>
      <c r="H605" s="120"/>
      <c r="I605" s="218"/>
    </row>
    <row r="606" spans="3:9" ht="14.25" customHeight="1" x14ac:dyDescent="0.3">
      <c r="C606" s="1"/>
      <c r="D606" s="118"/>
      <c r="E606" s="1"/>
      <c r="F606" s="120"/>
      <c r="G606" s="118"/>
      <c r="H606" s="120"/>
      <c r="I606" s="218"/>
    </row>
    <row r="607" spans="3:9" ht="14.25" customHeight="1" x14ac:dyDescent="0.3">
      <c r="C607" s="1"/>
      <c r="D607" s="118"/>
      <c r="E607" s="1"/>
      <c r="F607" s="120"/>
      <c r="G607" s="118"/>
      <c r="H607" s="120"/>
      <c r="I607" s="218"/>
    </row>
    <row r="608" spans="3:9" ht="14.25" customHeight="1" x14ac:dyDescent="0.3">
      <c r="C608" s="1"/>
      <c r="D608" s="118"/>
      <c r="E608" s="1"/>
      <c r="F608" s="120"/>
      <c r="G608" s="118"/>
      <c r="H608" s="120"/>
      <c r="I608" s="218"/>
    </row>
    <row r="609" spans="3:9" ht="14.25" customHeight="1" x14ac:dyDescent="0.3">
      <c r="C609" s="1"/>
      <c r="D609" s="118"/>
      <c r="E609" s="1"/>
      <c r="F609" s="120"/>
      <c r="G609" s="118"/>
      <c r="H609" s="120"/>
      <c r="I609" s="218"/>
    </row>
    <row r="610" spans="3:9" ht="14.25" customHeight="1" x14ac:dyDescent="0.3">
      <c r="C610" s="1"/>
      <c r="D610" s="118"/>
      <c r="E610" s="1"/>
      <c r="F610" s="120"/>
      <c r="G610" s="118"/>
      <c r="H610" s="120"/>
      <c r="I610" s="218"/>
    </row>
    <row r="611" spans="3:9" ht="14.25" customHeight="1" x14ac:dyDescent="0.3">
      <c r="C611" s="1"/>
      <c r="D611" s="118"/>
      <c r="E611" s="1"/>
      <c r="F611" s="120"/>
      <c r="G611" s="118"/>
      <c r="H611" s="120"/>
      <c r="I611" s="218"/>
    </row>
    <row r="612" spans="3:9" ht="14.25" customHeight="1" x14ac:dyDescent="0.3">
      <c r="C612" s="1"/>
      <c r="D612" s="118"/>
      <c r="E612" s="1"/>
      <c r="F612" s="120"/>
      <c r="G612" s="118"/>
      <c r="H612" s="120"/>
      <c r="I612" s="218"/>
    </row>
    <row r="613" spans="3:9" ht="14.25" customHeight="1" x14ac:dyDescent="0.3">
      <c r="C613" s="1"/>
      <c r="D613" s="118"/>
      <c r="E613" s="1"/>
      <c r="F613" s="120"/>
      <c r="G613" s="118"/>
      <c r="H613" s="120"/>
      <c r="I613" s="218"/>
    </row>
    <row r="614" spans="3:9" ht="14.25" customHeight="1" x14ac:dyDescent="0.3">
      <c r="C614" s="1"/>
      <c r="D614" s="118"/>
      <c r="E614" s="1"/>
      <c r="F614" s="120"/>
      <c r="G614" s="118"/>
      <c r="H614" s="120"/>
      <c r="I614" s="218"/>
    </row>
    <row r="615" spans="3:9" ht="14.25" customHeight="1" x14ac:dyDescent="0.3">
      <c r="C615" s="1"/>
      <c r="D615" s="118"/>
      <c r="E615" s="1"/>
      <c r="F615" s="120"/>
      <c r="G615" s="118"/>
      <c r="H615" s="120"/>
      <c r="I615" s="218"/>
    </row>
    <row r="616" spans="3:9" ht="14.25" customHeight="1" x14ac:dyDescent="0.3">
      <c r="C616" s="1"/>
      <c r="D616" s="118"/>
      <c r="E616" s="1"/>
      <c r="F616" s="120"/>
      <c r="G616" s="118"/>
      <c r="H616" s="120"/>
      <c r="I616" s="218"/>
    </row>
    <row r="617" spans="3:9" ht="14.25" customHeight="1" x14ac:dyDescent="0.3">
      <c r="C617" s="1"/>
      <c r="D617" s="118"/>
      <c r="E617" s="1"/>
      <c r="F617" s="120"/>
      <c r="G617" s="118"/>
      <c r="H617" s="120"/>
      <c r="I617" s="218"/>
    </row>
    <row r="618" spans="3:9" ht="14.25" customHeight="1" x14ac:dyDescent="0.3">
      <c r="C618" s="1"/>
      <c r="D618" s="118"/>
      <c r="E618" s="1"/>
      <c r="F618" s="120"/>
      <c r="G618" s="118"/>
      <c r="H618" s="120"/>
      <c r="I618" s="218"/>
    </row>
    <row r="619" spans="3:9" ht="14.25" customHeight="1" x14ac:dyDescent="0.3">
      <c r="C619" s="1"/>
      <c r="D619" s="118"/>
      <c r="E619" s="1"/>
      <c r="F619" s="120"/>
      <c r="G619" s="118"/>
      <c r="H619" s="120"/>
      <c r="I619" s="218"/>
    </row>
    <row r="620" spans="3:9" ht="14.25" customHeight="1" x14ac:dyDescent="0.3">
      <c r="C620" s="1"/>
      <c r="D620" s="118"/>
      <c r="E620" s="1"/>
      <c r="F620" s="120"/>
      <c r="G620" s="118"/>
      <c r="H620" s="120"/>
      <c r="I620" s="218"/>
    </row>
    <row r="621" spans="3:9" ht="14.25" customHeight="1" x14ac:dyDescent="0.3">
      <c r="C621" s="1"/>
      <c r="D621" s="118"/>
      <c r="E621" s="1"/>
      <c r="F621" s="120"/>
      <c r="G621" s="118"/>
      <c r="H621" s="120"/>
      <c r="I621" s="218"/>
    </row>
    <row r="622" spans="3:9" ht="14.25" customHeight="1" x14ac:dyDescent="0.3">
      <c r="C622" s="1"/>
      <c r="D622" s="118"/>
      <c r="E622" s="1"/>
      <c r="F622" s="120"/>
      <c r="G622" s="118"/>
      <c r="H622" s="120"/>
      <c r="I622" s="218"/>
    </row>
    <row r="623" spans="3:9" ht="14.25" customHeight="1" x14ac:dyDescent="0.3">
      <c r="C623" s="1"/>
      <c r="D623" s="118"/>
      <c r="E623" s="1"/>
      <c r="F623" s="120"/>
      <c r="G623" s="118"/>
      <c r="H623" s="120"/>
      <c r="I623" s="218"/>
    </row>
    <row r="624" spans="3:9" ht="14.25" customHeight="1" x14ac:dyDescent="0.3">
      <c r="C624" s="1"/>
      <c r="D624" s="118"/>
      <c r="E624" s="1"/>
      <c r="F624" s="120"/>
      <c r="G624" s="118"/>
      <c r="H624" s="120"/>
      <c r="I624" s="218"/>
    </row>
    <row r="625" spans="3:9" ht="14.25" customHeight="1" x14ac:dyDescent="0.3">
      <c r="C625" s="1"/>
      <c r="D625" s="118"/>
      <c r="E625" s="1"/>
      <c r="F625" s="120"/>
      <c r="G625" s="118"/>
      <c r="H625" s="120"/>
      <c r="I625" s="218"/>
    </row>
    <row r="626" spans="3:9" ht="14.25" customHeight="1" x14ac:dyDescent="0.3">
      <c r="C626" s="1"/>
      <c r="D626" s="118"/>
      <c r="E626" s="1"/>
      <c r="F626" s="120"/>
      <c r="G626" s="118"/>
      <c r="H626" s="120"/>
      <c r="I626" s="218"/>
    </row>
    <row r="627" spans="3:9" ht="14.25" customHeight="1" x14ac:dyDescent="0.3">
      <c r="C627" s="1"/>
      <c r="D627" s="118"/>
      <c r="E627" s="1"/>
      <c r="F627" s="120"/>
      <c r="G627" s="118"/>
      <c r="H627" s="120"/>
      <c r="I627" s="218"/>
    </row>
    <row r="628" spans="3:9" ht="14.25" customHeight="1" x14ac:dyDescent="0.3">
      <c r="C628" s="1"/>
      <c r="D628" s="118"/>
      <c r="E628" s="1"/>
      <c r="F628" s="120"/>
      <c r="G628" s="118"/>
      <c r="H628" s="120"/>
      <c r="I628" s="218"/>
    </row>
    <row r="629" spans="3:9" ht="14.25" customHeight="1" x14ac:dyDescent="0.3">
      <c r="C629" s="1"/>
      <c r="D629" s="118"/>
      <c r="E629" s="1"/>
      <c r="F629" s="120"/>
      <c r="G629" s="118"/>
      <c r="H629" s="120"/>
      <c r="I629" s="218"/>
    </row>
    <row r="630" spans="3:9" ht="14.25" customHeight="1" x14ac:dyDescent="0.3">
      <c r="C630" s="1"/>
      <c r="D630" s="118"/>
      <c r="E630" s="1"/>
      <c r="F630" s="120"/>
      <c r="G630" s="118"/>
      <c r="H630" s="120"/>
      <c r="I630" s="218"/>
    </row>
    <row r="631" spans="3:9" ht="14.25" customHeight="1" x14ac:dyDescent="0.3">
      <c r="C631" s="1"/>
      <c r="D631" s="118"/>
      <c r="E631" s="1"/>
      <c r="F631" s="120"/>
      <c r="G631" s="118"/>
      <c r="H631" s="120"/>
      <c r="I631" s="218"/>
    </row>
    <row r="632" spans="3:9" ht="14.25" customHeight="1" x14ac:dyDescent="0.3">
      <c r="C632" s="1"/>
      <c r="D632" s="118"/>
      <c r="E632" s="1"/>
      <c r="F632" s="120"/>
      <c r="G632" s="118"/>
      <c r="H632" s="120"/>
      <c r="I632" s="218"/>
    </row>
    <row r="633" spans="3:9" ht="14.25" customHeight="1" x14ac:dyDescent="0.3">
      <c r="C633" s="1"/>
      <c r="D633" s="118"/>
      <c r="E633" s="1"/>
      <c r="F633" s="120"/>
      <c r="G633" s="118"/>
      <c r="H633" s="120"/>
      <c r="I633" s="218"/>
    </row>
    <row r="634" spans="3:9" ht="14.25" customHeight="1" x14ac:dyDescent="0.3">
      <c r="C634" s="1"/>
      <c r="D634" s="118"/>
      <c r="E634" s="1"/>
      <c r="F634" s="120"/>
      <c r="G634" s="118"/>
      <c r="H634" s="120"/>
      <c r="I634" s="218"/>
    </row>
    <row r="635" spans="3:9" ht="14.25" customHeight="1" x14ac:dyDescent="0.3">
      <c r="C635" s="1"/>
      <c r="D635" s="118"/>
      <c r="E635" s="1"/>
      <c r="F635" s="120"/>
      <c r="G635" s="118"/>
      <c r="H635" s="120"/>
      <c r="I635" s="218"/>
    </row>
    <row r="636" spans="3:9" ht="14.25" customHeight="1" x14ac:dyDescent="0.3">
      <c r="C636" s="1"/>
      <c r="D636" s="118"/>
      <c r="E636" s="1"/>
      <c r="F636" s="120"/>
      <c r="G636" s="118"/>
      <c r="H636" s="120"/>
      <c r="I636" s="218"/>
    </row>
    <row r="637" spans="3:9" ht="14.25" customHeight="1" x14ac:dyDescent="0.3">
      <c r="C637" s="1"/>
      <c r="D637" s="118"/>
      <c r="E637" s="1"/>
      <c r="F637" s="120"/>
      <c r="G637" s="118"/>
      <c r="H637" s="120"/>
      <c r="I637" s="218"/>
    </row>
    <row r="638" spans="3:9" ht="14.25" customHeight="1" x14ac:dyDescent="0.3">
      <c r="C638" s="1"/>
      <c r="D638" s="118"/>
      <c r="E638" s="1"/>
      <c r="F638" s="120"/>
      <c r="G638" s="118"/>
      <c r="H638" s="120"/>
      <c r="I638" s="218"/>
    </row>
    <row r="639" spans="3:9" ht="14.25" customHeight="1" x14ac:dyDescent="0.3">
      <c r="C639" s="1"/>
      <c r="D639" s="118"/>
      <c r="E639" s="1"/>
      <c r="F639" s="120"/>
      <c r="G639" s="118"/>
      <c r="H639" s="120"/>
      <c r="I639" s="218"/>
    </row>
    <row r="640" spans="3:9" ht="14.25" customHeight="1" x14ac:dyDescent="0.3">
      <c r="C640" s="1"/>
      <c r="D640" s="118"/>
      <c r="E640" s="1"/>
      <c r="F640" s="120"/>
      <c r="G640" s="118"/>
      <c r="H640" s="120"/>
      <c r="I640" s="218"/>
    </row>
    <row r="641" spans="3:9" ht="14.25" customHeight="1" x14ac:dyDescent="0.3">
      <c r="C641" s="1"/>
      <c r="D641" s="118"/>
      <c r="E641" s="1"/>
      <c r="F641" s="120"/>
      <c r="G641" s="118"/>
      <c r="H641" s="120"/>
      <c r="I641" s="218"/>
    </row>
    <row r="642" spans="3:9" ht="14.25" customHeight="1" x14ac:dyDescent="0.3">
      <c r="C642" s="1"/>
      <c r="D642" s="118"/>
      <c r="E642" s="1"/>
      <c r="F642" s="120"/>
      <c r="G642" s="118"/>
      <c r="H642" s="120"/>
      <c r="I642" s="218"/>
    </row>
    <row r="643" spans="3:9" ht="14.25" customHeight="1" x14ac:dyDescent="0.3">
      <c r="C643" s="1"/>
      <c r="D643" s="118"/>
      <c r="E643" s="1"/>
      <c r="F643" s="120"/>
      <c r="G643" s="118"/>
      <c r="H643" s="120"/>
      <c r="I643" s="218"/>
    </row>
    <row r="644" spans="3:9" ht="14.25" customHeight="1" x14ac:dyDescent="0.3">
      <c r="C644" s="1"/>
      <c r="D644" s="118"/>
      <c r="E644" s="1"/>
      <c r="F644" s="120"/>
      <c r="G644" s="118"/>
      <c r="H644" s="120"/>
      <c r="I644" s="218"/>
    </row>
    <row r="645" spans="3:9" ht="14.25" customHeight="1" x14ac:dyDescent="0.3">
      <c r="C645" s="1"/>
      <c r="D645" s="118"/>
      <c r="E645" s="1"/>
      <c r="F645" s="120"/>
      <c r="G645" s="118"/>
      <c r="H645" s="120"/>
      <c r="I645" s="218"/>
    </row>
    <row r="646" spans="3:9" ht="14.25" customHeight="1" x14ac:dyDescent="0.3">
      <c r="C646" s="1"/>
      <c r="D646" s="118"/>
      <c r="E646" s="1"/>
      <c r="F646" s="120"/>
      <c r="G646" s="118"/>
      <c r="H646" s="120"/>
      <c r="I646" s="218"/>
    </row>
    <row r="647" spans="3:9" ht="14.25" customHeight="1" x14ac:dyDescent="0.3">
      <c r="C647" s="1"/>
      <c r="D647" s="118"/>
      <c r="E647" s="1"/>
      <c r="F647" s="120"/>
      <c r="G647" s="118"/>
      <c r="H647" s="120"/>
      <c r="I647" s="218"/>
    </row>
    <row r="648" spans="3:9" ht="14.25" customHeight="1" x14ac:dyDescent="0.3">
      <c r="C648" s="1"/>
      <c r="D648" s="118"/>
      <c r="E648" s="1"/>
      <c r="F648" s="120"/>
      <c r="G648" s="118"/>
      <c r="H648" s="120"/>
      <c r="I648" s="218"/>
    </row>
    <row r="649" spans="3:9" ht="14.25" customHeight="1" x14ac:dyDescent="0.3">
      <c r="C649" s="1"/>
      <c r="D649" s="118"/>
      <c r="E649" s="1"/>
      <c r="F649" s="120"/>
      <c r="G649" s="118"/>
      <c r="H649" s="120"/>
      <c r="I649" s="218"/>
    </row>
    <row r="650" spans="3:9" ht="14.25" customHeight="1" x14ac:dyDescent="0.3">
      <c r="C650" s="1"/>
      <c r="D650" s="118"/>
      <c r="E650" s="1"/>
      <c r="F650" s="120"/>
      <c r="G650" s="118"/>
      <c r="H650" s="120"/>
      <c r="I650" s="218"/>
    </row>
    <row r="651" spans="3:9" ht="14.25" customHeight="1" x14ac:dyDescent="0.3">
      <c r="C651" s="1"/>
      <c r="D651" s="118"/>
      <c r="E651" s="1"/>
      <c r="F651" s="120"/>
      <c r="G651" s="118"/>
      <c r="H651" s="120"/>
      <c r="I651" s="218"/>
    </row>
    <row r="652" spans="3:9" ht="14.25" customHeight="1" x14ac:dyDescent="0.3">
      <c r="C652" s="1"/>
      <c r="D652" s="118"/>
      <c r="E652" s="1"/>
      <c r="F652" s="120"/>
      <c r="G652" s="118"/>
      <c r="H652" s="120"/>
      <c r="I652" s="218"/>
    </row>
    <row r="653" spans="3:9" ht="14.25" customHeight="1" x14ac:dyDescent="0.3">
      <c r="C653" s="1"/>
      <c r="D653" s="118"/>
      <c r="E653" s="1"/>
      <c r="F653" s="120"/>
      <c r="G653" s="118"/>
      <c r="H653" s="120"/>
      <c r="I653" s="218"/>
    </row>
    <row r="654" spans="3:9" ht="14.25" customHeight="1" x14ac:dyDescent="0.3">
      <c r="C654" s="1"/>
      <c r="D654" s="118"/>
      <c r="E654" s="1"/>
      <c r="F654" s="120"/>
      <c r="G654" s="118"/>
      <c r="H654" s="120"/>
      <c r="I654" s="218"/>
    </row>
    <row r="655" spans="3:9" ht="14.25" customHeight="1" x14ac:dyDescent="0.3">
      <c r="C655" s="1"/>
      <c r="D655" s="118"/>
      <c r="E655" s="1"/>
      <c r="F655" s="120"/>
      <c r="G655" s="118"/>
      <c r="H655" s="120"/>
      <c r="I655" s="218"/>
    </row>
    <row r="656" spans="3:9" ht="14.25" customHeight="1" x14ac:dyDescent="0.3">
      <c r="C656" s="1"/>
      <c r="D656" s="118"/>
      <c r="E656" s="1"/>
      <c r="F656" s="120"/>
      <c r="G656" s="118"/>
      <c r="H656" s="120"/>
      <c r="I656" s="218"/>
    </row>
    <row r="657" spans="3:9" ht="14.25" customHeight="1" x14ac:dyDescent="0.3">
      <c r="C657" s="1"/>
      <c r="D657" s="118"/>
      <c r="E657" s="1"/>
      <c r="F657" s="120"/>
      <c r="G657" s="118"/>
      <c r="H657" s="120"/>
      <c r="I657" s="218"/>
    </row>
    <row r="658" spans="3:9" ht="14.25" customHeight="1" x14ac:dyDescent="0.3">
      <c r="C658" s="1"/>
      <c r="D658" s="118"/>
      <c r="E658" s="1"/>
      <c r="F658" s="120"/>
      <c r="G658" s="118"/>
      <c r="H658" s="120"/>
      <c r="I658" s="218"/>
    </row>
    <row r="659" spans="3:9" ht="14.25" customHeight="1" x14ac:dyDescent="0.3">
      <c r="C659" s="1"/>
      <c r="D659" s="118"/>
      <c r="E659" s="1"/>
      <c r="F659" s="120"/>
      <c r="G659" s="118"/>
      <c r="H659" s="120"/>
      <c r="I659" s="218"/>
    </row>
    <row r="660" spans="3:9" ht="14.25" customHeight="1" x14ac:dyDescent="0.3">
      <c r="C660" s="1"/>
      <c r="D660" s="118"/>
      <c r="E660" s="1"/>
      <c r="F660" s="120"/>
      <c r="G660" s="118"/>
      <c r="H660" s="120"/>
      <c r="I660" s="218"/>
    </row>
    <row r="661" spans="3:9" ht="14.25" customHeight="1" x14ac:dyDescent="0.3">
      <c r="C661" s="1"/>
      <c r="D661" s="118"/>
      <c r="E661" s="1"/>
      <c r="F661" s="120"/>
      <c r="G661" s="118"/>
      <c r="H661" s="120"/>
      <c r="I661" s="218"/>
    </row>
    <row r="662" spans="3:9" ht="14.25" customHeight="1" x14ac:dyDescent="0.3">
      <c r="C662" s="1"/>
      <c r="D662" s="118"/>
      <c r="E662" s="1"/>
      <c r="F662" s="120"/>
      <c r="G662" s="118"/>
      <c r="H662" s="120"/>
      <c r="I662" s="218"/>
    </row>
    <row r="663" spans="3:9" ht="14.25" customHeight="1" x14ac:dyDescent="0.3">
      <c r="C663" s="1"/>
      <c r="D663" s="118"/>
      <c r="E663" s="1"/>
      <c r="F663" s="120"/>
      <c r="G663" s="118"/>
      <c r="H663" s="120"/>
      <c r="I663" s="218"/>
    </row>
    <row r="664" spans="3:9" ht="14.25" customHeight="1" x14ac:dyDescent="0.3">
      <c r="C664" s="1"/>
      <c r="D664" s="118"/>
      <c r="E664" s="1"/>
      <c r="F664" s="120"/>
      <c r="G664" s="118"/>
      <c r="H664" s="120"/>
      <c r="I664" s="218"/>
    </row>
    <row r="665" spans="3:9" ht="14.25" customHeight="1" x14ac:dyDescent="0.3">
      <c r="C665" s="1"/>
      <c r="D665" s="118"/>
      <c r="E665" s="1"/>
      <c r="F665" s="120"/>
      <c r="G665" s="118"/>
      <c r="H665" s="120"/>
      <c r="I665" s="218"/>
    </row>
    <row r="666" spans="3:9" ht="14.25" customHeight="1" x14ac:dyDescent="0.3">
      <c r="C666" s="1"/>
      <c r="D666" s="118"/>
      <c r="E666" s="1"/>
      <c r="F666" s="120"/>
      <c r="G666" s="118"/>
      <c r="H666" s="120"/>
      <c r="I666" s="218"/>
    </row>
    <row r="667" spans="3:9" ht="14.25" customHeight="1" x14ac:dyDescent="0.3">
      <c r="C667" s="1"/>
      <c r="D667" s="118"/>
      <c r="E667" s="1"/>
      <c r="F667" s="120"/>
      <c r="G667" s="118"/>
      <c r="H667" s="120"/>
      <c r="I667" s="218"/>
    </row>
    <row r="668" spans="3:9" ht="14.25" customHeight="1" x14ac:dyDescent="0.3">
      <c r="C668" s="1"/>
      <c r="D668" s="118"/>
      <c r="E668" s="1"/>
      <c r="F668" s="120"/>
      <c r="G668" s="118"/>
      <c r="H668" s="120"/>
      <c r="I668" s="218"/>
    </row>
    <row r="669" spans="3:9" ht="14.25" customHeight="1" x14ac:dyDescent="0.3">
      <c r="C669" s="1"/>
      <c r="D669" s="118"/>
      <c r="E669" s="1"/>
      <c r="F669" s="120"/>
      <c r="G669" s="118"/>
      <c r="H669" s="120"/>
      <c r="I669" s="218"/>
    </row>
    <row r="670" spans="3:9" ht="14.25" customHeight="1" x14ac:dyDescent="0.3">
      <c r="C670" s="1"/>
      <c r="D670" s="118"/>
      <c r="E670" s="1"/>
      <c r="F670" s="120"/>
      <c r="G670" s="118"/>
      <c r="H670" s="120"/>
      <c r="I670" s="218"/>
    </row>
    <row r="671" spans="3:9" ht="14.25" customHeight="1" x14ac:dyDescent="0.3">
      <c r="C671" s="1"/>
      <c r="D671" s="118"/>
      <c r="E671" s="1"/>
      <c r="F671" s="120"/>
      <c r="G671" s="118"/>
      <c r="H671" s="120"/>
      <c r="I671" s="218"/>
    </row>
    <row r="672" spans="3:9" ht="14.25" customHeight="1" x14ac:dyDescent="0.3">
      <c r="C672" s="1"/>
      <c r="D672" s="118"/>
      <c r="E672" s="1"/>
      <c r="F672" s="120"/>
      <c r="G672" s="118"/>
      <c r="H672" s="120"/>
      <c r="I672" s="218"/>
    </row>
    <row r="673" spans="3:9" ht="14.25" customHeight="1" x14ac:dyDescent="0.3">
      <c r="C673" s="1"/>
      <c r="D673" s="118"/>
      <c r="E673" s="1"/>
      <c r="F673" s="120"/>
      <c r="G673" s="118"/>
      <c r="H673" s="120"/>
      <c r="I673" s="218"/>
    </row>
    <row r="674" spans="3:9" ht="14.25" customHeight="1" x14ac:dyDescent="0.3">
      <c r="C674" s="1"/>
      <c r="D674" s="118"/>
      <c r="E674" s="1"/>
      <c r="F674" s="120"/>
      <c r="G674" s="118"/>
      <c r="H674" s="120"/>
      <c r="I674" s="218"/>
    </row>
    <row r="675" spans="3:9" ht="14.25" customHeight="1" x14ac:dyDescent="0.3">
      <c r="C675" s="1"/>
      <c r="D675" s="118"/>
      <c r="E675" s="1"/>
      <c r="F675" s="120"/>
      <c r="G675" s="118"/>
      <c r="H675" s="120"/>
      <c r="I675" s="218"/>
    </row>
    <row r="676" spans="3:9" ht="14.25" customHeight="1" x14ac:dyDescent="0.3">
      <c r="C676" s="1"/>
      <c r="D676" s="118"/>
      <c r="E676" s="1"/>
      <c r="F676" s="120"/>
      <c r="G676" s="118"/>
      <c r="H676" s="120"/>
      <c r="I676" s="218"/>
    </row>
    <row r="677" spans="3:9" ht="14.25" customHeight="1" x14ac:dyDescent="0.3">
      <c r="C677" s="1"/>
      <c r="D677" s="118"/>
      <c r="E677" s="1"/>
      <c r="F677" s="120"/>
      <c r="G677" s="118"/>
      <c r="H677" s="120"/>
      <c r="I677" s="218"/>
    </row>
    <row r="678" spans="3:9" ht="14.25" customHeight="1" x14ac:dyDescent="0.3">
      <c r="C678" s="1"/>
      <c r="D678" s="118"/>
      <c r="E678" s="1"/>
      <c r="F678" s="120"/>
      <c r="G678" s="118"/>
      <c r="H678" s="120"/>
      <c r="I678" s="218"/>
    </row>
    <row r="679" spans="3:9" ht="14.25" customHeight="1" x14ac:dyDescent="0.3">
      <c r="C679" s="1"/>
      <c r="D679" s="118"/>
      <c r="E679" s="1"/>
      <c r="F679" s="120"/>
      <c r="G679" s="118"/>
      <c r="H679" s="120"/>
      <c r="I679" s="218"/>
    </row>
    <row r="680" spans="3:9" ht="14.25" customHeight="1" x14ac:dyDescent="0.3">
      <c r="C680" s="1"/>
      <c r="D680" s="118"/>
      <c r="E680" s="1"/>
      <c r="F680" s="120"/>
      <c r="G680" s="118"/>
      <c r="H680" s="120"/>
      <c r="I680" s="218"/>
    </row>
    <row r="681" spans="3:9" ht="14.25" customHeight="1" x14ac:dyDescent="0.3">
      <c r="C681" s="1"/>
      <c r="D681" s="118"/>
      <c r="E681" s="1"/>
      <c r="F681" s="120"/>
      <c r="G681" s="118"/>
      <c r="H681" s="120"/>
      <c r="I681" s="218"/>
    </row>
    <row r="682" spans="3:9" ht="14.25" customHeight="1" x14ac:dyDescent="0.3">
      <c r="C682" s="1"/>
      <c r="D682" s="118"/>
      <c r="E682" s="1"/>
      <c r="F682" s="120"/>
      <c r="G682" s="118"/>
      <c r="H682" s="120"/>
      <c r="I682" s="218"/>
    </row>
    <row r="683" spans="3:9" ht="14.25" customHeight="1" x14ac:dyDescent="0.3">
      <c r="C683" s="1"/>
      <c r="D683" s="118"/>
      <c r="E683" s="1"/>
      <c r="F683" s="120"/>
      <c r="G683" s="118"/>
      <c r="H683" s="120"/>
      <c r="I683" s="218"/>
    </row>
    <row r="684" spans="3:9" ht="14.25" customHeight="1" x14ac:dyDescent="0.3">
      <c r="C684" s="1"/>
      <c r="D684" s="118"/>
      <c r="E684" s="1"/>
      <c r="F684" s="120"/>
      <c r="G684" s="118"/>
      <c r="H684" s="120"/>
      <c r="I684" s="218"/>
    </row>
    <row r="685" spans="3:9" ht="14.25" customHeight="1" x14ac:dyDescent="0.3">
      <c r="C685" s="1"/>
      <c r="D685" s="118"/>
      <c r="E685" s="1"/>
      <c r="F685" s="120"/>
      <c r="G685" s="118"/>
      <c r="H685" s="120"/>
      <c r="I685" s="218"/>
    </row>
    <row r="686" spans="3:9" ht="14.25" customHeight="1" x14ac:dyDescent="0.3">
      <c r="C686" s="1"/>
      <c r="D686" s="118"/>
      <c r="E686" s="1"/>
      <c r="F686" s="120"/>
      <c r="G686" s="118"/>
      <c r="H686" s="120"/>
      <c r="I686" s="218"/>
    </row>
    <row r="687" spans="3:9" ht="14.25" customHeight="1" x14ac:dyDescent="0.3">
      <c r="C687" s="1"/>
      <c r="D687" s="118"/>
      <c r="E687" s="1"/>
      <c r="F687" s="120"/>
      <c r="G687" s="118"/>
      <c r="H687" s="120"/>
      <c r="I687" s="218"/>
    </row>
    <row r="688" spans="3:9" ht="14.25" customHeight="1" x14ac:dyDescent="0.3">
      <c r="C688" s="1"/>
      <c r="D688" s="118"/>
      <c r="E688" s="1"/>
      <c r="F688" s="120"/>
      <c r="G688" s="118"/>
      <c r="H688" s="120"/>
      <c r="I688" s="218"/>
    </row>
    <row r="689" spans="3:9" ht="14.25" customHeight="1" x14ac:dyDescent="0.3">
      <c r="C689" s="1"/>
      <c r="D689" s="118"/>
      <c r="E689" s="1"/>
      <c r="F689" s="120"/>
      <c r="G689" s="118"/>
      <c r="H689" s="120"/>
      <c r="I689" s="218"/>
    </row>
    <row r="690" spans="3:9" ht="14.25" customHeight="1" x14ac:dyDescent="0.3">
      <c r="C690" s="1"/>
      <c r="D690" s="118"/>
      <c r="E690" s="1"/>
      <c r="F690" s="120"/>
      <c r="G690" s="118"/>
      <c r="H690" s="120"/>
      <c r="I690" s="218"/>
    </row>
    <row r="691" spans="3:9" ht="14.25" customHeight="1" x14ac:dyDescent="0.3">
      <c r="C691" s="1"/>
      <c r="D691" s="118"/>
      <c r="E691" s="1"/>
      <c r="F691" s="120"/>
      <c r="G691" s="118"/>
      <c r="H691" s="120"/>
      <c r="I691" s="218"/>
    </row>
    <row r="692" spans="3:9" ht="14.25" customHeight="1" x14ac:dyDescent="0.3">
      <c r="C692" s="1"/>
      <c r="D692" s="118"/>
      <c r="E692" s="1"/>
      <c r="F692" s="120"/>
      <c r="G692" s="118"/>
      <c r="H692" s="120"/>
      <c r="I692" s="218"/>
    </row>
    <row r="693" spans="3:9" ht="14.25" customHeight="1" x14ac:dyDescent="0.3">
      <c r="C693" s="1"/>
      <c r="D693" s="118"/>
      <c r="E693" s="1"/>
      <c r="F693" s="120"/>
      <c r="G693" s="118"/>
      <c r="H693" s="120"/>
      <c r="I693" s="218"/>
    </row>
    <row r="694" spans="3:9" ht="14.25" customHeight="1" x14ac:dyDescent="0.3">
      <c r="C694" s="1"/>
      <c r="D694" s="118"/>
      <c r="E694" s="1"/>
      <c r="F694" s="120"/>
      <c r="G694" s="118"/>
      <c r="H694" s="120"/>
      <c r="I694" s="218"/>
    </row>
    <row r="695" spans="3:9" ht="14.25" customHeight="1" x14ac:dyDescent="0.3">
      <c r="C695" s="1"/>
      <c r="D695" s="118"/>
      <c r="E695" s="1"/>
      <c r="F695" s="120"/>
      <c r="G695" s="118"/>
      <c r="H695" s="120"/>
      <c r="I695" s="218"/>
    </row>
    <row r="696" spans="3:9" ht="14.25" customHeight="1" x14ac:dyDescent="0.3">
      <c r="C696" s="1"/>
      <c r="D696" s="118"/>
      <c r="E696" s="1"/>
      <c r="F696" s="120"/>
      <c r="G696" s="118"/>
      <c r="H696" s="120"/>
      <c r="I696" s="218"/>
    </row>
    <row r="697" spans="3:9" ht="14.25" customHeight="1" x14ac:dyDescent="0.3">
      <c r="C697" s="1"/>
      <c r="D697" s="118"/>
      <c r="E697" s="1"/>
      <c r="F697" s="120"/>
      <c r="G697" s="118"/>
      <c r="H697" s="120"/>
      <c r="I697" s="218"/>
    </row>
    <row r="698" spans="3:9" ht="14.25" customHeight="1" x14ac:dyDescent="0.3">
      <c r="C698" s="1"/>
      <c r="D698" s="118"/>
      <c r="E698" s="1"/>
      <c r="F698" s="120"/>
      <c r="G698" s="118"/>
      <c r="H698" s="120"/>
      <c r="I698" s="218"/>
    </row>
    <row r="699" spans="3:9" ht="14.25" customHeight="1" x14ac:dyDescent="0.3">
      <c r="C699" s="1"/>
      <c r="D699" s="118"/>
      <c r="E699" s="1"/>
      <c r="F699" s="120"/>
      <c r="G699" s="118"/>
      <c r="H699" s="120"/>
      <c r="I699" s="218"/>
    </row>
    <row r="700" spans="3:9" ht="14.25" customHeight="1" x14ac:dyDescent="0.3">
      <c r="C700" s="1"/>
      <c r="D700" s="118"/>
      <c r="E700" s="1"/>
      <c r="F700" s="120"/>
      <c r="G700" s="118"/>
      <c r="H700" s="120"/>
      <c r="I700" s="218"/>
    </row>
    <row r="701" spans="3:9" ht="14.25" customHeight="1" x14ac:dyDescent="0.3">
      <c r="C701" s="1"/>
      <c r="D701" s="118"/>
      <c r="E701" s="1"/>
      <c r="F701" s="120"/>
      <c r="G701" s="118"/>
      <c r="H701" s="120"/>
      <c r="I701" s="218"/>
    </row>
    <row r="702" spans="3:9" ht="14.25" customHeight="1" x14ac:dyDescent="0.3">
      <c r="C702" s="1"/>
      <c r="D702" s="118"/>
      <c r="E702" s="1"/>
      <c r="F702" s="120"/>
      <c r="G702" s="118"/>
      <c r="H702" s="120"/>
      <c r="I702" s="218"/>
    </row>
    <row r="703" spans="3:9" ht="14.25" customHeight="1" x14ac:dyDescent="0.3">
      <c r="C703" s="1"/>
      <c r="D703" s="118"/>
      <c r="E703" s="1"/>
      <c r="F703" s="120"/>
      <c r="G703" s="118"/>
      <c r="H703" s="120"/>
      <c r="I703" s="218"/>
    </row>
    <row r="704" spans="3:9" ht="14.25" customHeight="1" x14ac:dyDescent="0.3">
      <c r="C704" s="1"/>
      <c r="D704" s="118"/>
      <c r="E704" s="1"/>
      <c r="F704" s="120"/>
      <c r="G704" s="118"/>
      <c r="H704" s="120"/>
      <c r="I704" s="218"/>
    </row>
    <row r="705" spans="3:9" ht="14.25" customHeight="1" x14ac:dyDescent="0.3">
      <c r="C705" s="1"/>
      <c r="D705" s="118"/>
      <c r="E705" s="1"/>
      <c r="F705" s="120"/>
      <c r="G705" s="118"/>
      <c r="H705" s="120"/>
      <c r="I705" s="218"/>
    </row>
    <row r="706" spans="3:9" ht="14.25" customHeight="1" x14ac:dyDescent="0.3">
      <c r="C706" s="1"/>
      <c r="D706" s="118"/>
      <c r="E706" s="1"/>
      <c r="F706" s="120"/>
      <c r="G706" s="118"/>
      <c r="H706" s="120"/>
      <c r="I706" s="218"/>
    </row>
    <row r="707" spans="3:9" ht="14.25" customHeight="1" x14ac:dyDescent="0.3">
      <c r="C707" s="1"/>
      <c r="D707" s="118"/>
      <c r="E707" s="1"/>
      <c r="F707" s="120"/>
      <c r="G707" s="118"/>
      <c r="H707" s="120"/>
      <c r="I707" s="218"/>
    </row>
    <row r="708" spans="3:9" ht="14.25" customHeight="1" x14ac:dyDescent="0.3">
      <c r="C708" s="1"/>
      <c r="D708" s="118"/>
      <c r="E708" s="1"/>
      <c r="F708" s="120"/>
      <c r="G708" s="118"/>
      <c r="H708" s="120"/>
      <c r="I708" s="218"/>
    </row>
    <row r="709" spans="3:9" ht="14.25" customHeight="1" x14ac:dyDescent="0.3">
      <c r="C709" s="1"/>
      <c r="D709" s="118"/>
      <c r="E709" s="1"/>
      <c r="F709" s="120"/>
      <c r="G709" s="118"/>
      <c r="H709" s="120"/>
      <c r="I709" s="218"/>
    </row>
    <row r="710" spans="3:9" ht="14.25" customHeight="1" x14ac:dyDescent="0.3">
      <c r="C710" s="1"/>
      <c r="D710" s="118"/>
      <c r="E710" s="1"/>
      <c r="F710" s="120"/>
      <c r="G710" s="118"/>
      <c r="H710" s="120"/>
      <c r="I710" s="218"/>
    </row>
    <row r="711" spans="3:9" ht="14.25" customHeight="1" x14ac:dyDescent="0.3">
      <c r="C711" s="1"/>
      <c r="D711" s="118"/>
      <c r="E711" s="1"/>
      <c r="F711" s="120"/>
      <c r="G711" s="118"/>
      <c r="H711" s="120"/>
      <c r="I711" s="218"/>
    </row>
    <row r="712" spans="3:9" ht="14.25" customHeight="1" x14ac:dyDescent="0.3">
      <c r="C712" s="1"/>
      <c r="D712" s="118"/>
      <c r="E712" s="1"/>
      <c r="F712" s="120"/>
      <c r="G712" s="118"/>
      <c r="H712" s="120"/>
      <c r="I712" s="218"/>
    </row>
    <row r="713" spans="3:9" ht="14.25" customHeight="1" x14ac:dyDescent="0.3">
      <c r="C713" s="1"/>
      <c r="D713" s="118"/>
      <c r="E713" s="1"/>
      <c r="F713" s="120"/>
      <c r="G713" s="118"/>
      <c r="H713" s="120"/>
      <c r="I713" s="218"/>
    </row>
    <row r="714" spans="3:9" ht="14.25" customHeight="1" x14ac:dyDescent="0.3">
      <c r="C714" s="1"/>
      <c r="D714" s="118"/>
      <c r="E714" s="1"/>
      <c r="F714" s="120"/>
      <c r="G714" s="118"/>
      <c r="H714" s="120"/>
      <c r="I714" s="218"/>
    </row>
    <row r="715" spans="3:9" ht="14.25" customHeight="1" x14ac:dyDescent="0.3">
      <c r="C715" s="1"/>
      <c r="D715" s="118"/>
      <c r="E715" s="1"/>
      <c r="F715" s="120"/>
      <c r="G715" s="118"/>
      <c r="H715" s="120"/>
      <c r="I715" s="218"/>
    </row>
    <row r="716" spans="3:9" ht="14.25" customHeight="1" x14ac:dyDescent="0.3">
      <c r="C716" s="1"/>
      <c r="D716" s="118"/>
      <c r="E716" s="1"/>
      <c r="F716" s="120"/>
      <c r="G716" s="118"/>
      <c r="H716" s="120"/>
      <c r="I716" s="218"/>
    </row>
    <row r="717" spans="3:9" ht="14.25" customHeight="1" x14ac:dyDescent="0.3">
      <c r="C717" s="1"/>
      <c r="D717" s="118"/>
      <c r="E717" s="1"/>
      <c r="F717" s="120"/>
      <c r="G717" s="118"/>
      <c r="H717" s="120"/>
      <c r="I717" s="218"/>
    </row>
    <row r="718" spans="3:9" ht="14.25" customHeight="1" x14ac:dyDescent="0.3">
      <c r="C718" s="1"/>
      <c r="D718" s="118"/>
      <c r="E718" s="1"/>
      <c r="F718" s="120"/>
      <c r="G718" s="118"/>
      <c r="H718" s="120"/>
      <c r="I718" s="218"/>
    </row>
    <row r="719" spans="3:9" ht="14.25" customHeight="1" x14ac:dyDescent="0.3">
      <c r="C719" s="1"/>
      <c r="D719" s="118"/>
      <c r="E719" s="1"/>
      <c r="F719" s="120"/>
      <c r="G719" s="118"/>
      <c r="H719" s="120"/>
      <c r="I719" s="218"/>
    </row>
    <row r="720" spans="3:9" ht="14.25" customHeight="1" x14ac:dyDescent="0.3">
      <c r="C720" s="1"/>
      <c r="D720" s="118"/>
      <c r="E720" s="1"/>
      <c r="F720" s="120"/>
      <c r="G720" s="118"/>
      <c r="H720" s="120"/>
      <c r="I720" s="218"/>
    </row>
    <row r="721" spans="3:9" ht="14.25" customHeight="1" x14ac:dyDescent="0.3">
      <c r="C721" s="1"/>
      <c r="D721" s="118"/>
      <c r="E721" s="1"/>
      <c r="F721" s="120"/>
      <c r="G721" s="118"/>
      <c r="H721" s="120"/>
      <c r="I721" s="218"/>
    </row>
    <row r="722" spans="3:9" ht="14.25" customHeight="1" x14ac:dyDescent="0.3">
      <c r="C722" s="1"/>
      <c r="D722" s="118"/>
      <c r="E722" s="1"/>
      <c r="F722" s="120"/>
      <c r="G722" s="118"/>
      <c r="H722" s="120"/>
      <c r="I722" s="218"/>
    </row>
    <row r="723" spans="3:9" ht="14.25" customHeight="1" x14ac:dyDescent="0.3">
      <c r="C723" s="1"/>
      <c r="D723" s="118"/>
      <c r="E723" s="1"/>
      <c r="F723" s="120"/>
      <c r="G723" s="118"/>
      <c r="H723" s="120"/>
      <c r="I723" s="218"/>
    </row>
    <row r="724" spans="3:9" ht="14.25" customHeight="1" x14ac:dyDescent="0.3">
      <c r="C724" s="1"/>
      <c r="D724" s="118"/>
      <c r="E724" s="1"/>
      <c r="F724" s="120"/>
      <c r="G724" s="118"/>
      <c r="H724" s="120"/>
      <c r="I724" s="218"/>
    </row>
    <row r="725" spans="3:9" ht="14.25" customHeight="1" x14ac:dyDescent="0.3">
      <c r="C725" s="1"/>
      <c r="D725" s="118"/>
      <c r="E725" s="1"/>
      <c r="F725" s="120"/>
      <c r="G725" s="118"/>
      <c r="H725" s="120"/>
      <c r="I725" s="218"/>
    </row>
    <row r="726" spans="3:9" ht="14.25" customHeight="1" x14ac:dyDescent="0.3">
      <c r="C726" s="1"/>
      <c r="D726" s="118"/>
      <c r="E726" s="1"/>
      <c r="F726" s="120"/>
      <c r="G726" s="118"/>
      <c r="H726" s="120"/>
      <c r="I726" s="218"/>
    </row>
    <row r="727" spans="3:9" ht="14.25" customHeight="1" x14ac:dyDescent="0.3">
      <c r="C727" s="1"/>
      <c r="D727" s="118"/>
      <c r="E727" s="1"/>
      <c r="F727" s="120"/>
      <c r="G727" s="118"/>
      <c r="H727" s="120"/>
      <c r="I727" s="218"/>
    </row>
    <row r="728" spans="3:9" ht="14.25" customHeight="1" x14ac:dyDescent="0.3">
      <c r="C728" s="1"/>
      <c r="D728" s="118"/>
      <c r="E728" s="1"/>
      <c r="F728" s="120"/>
      <c r="G728" s="118"/>
      <c r="H728" s="120"/>
      <c r="I728" s="218"/>
    </row>
    <row r="729" spans="3:9" ht="14.25" customHeight="1" x14ac:dyDescent="0.3">
      <c r="C729" s="1"/>
      <c r="D729" s="118"/>
      <c r="E729" s="1"/>
      <c r="F729" s="120"/>
      <c r="G729" s="118"/>
      <c r="H729" s="120"/>
      <c r="I729" s="218"/>
    </row>
    <row r="730" spans="3:9" ht="14.25" customHeight="1" x14ac:dyDescent="0.3">
      <c r="C730" s="1"/>
      <c r="D730" s="118"/>
      <c r="E730" s="1"/>
      <c r="F730" s="120"/>
      <c r="G730" s="118"/>
      <c r="H730" s="120"/>
      <c r="I730" s="218"/>
    </row>
    <row r="731" spans="3:9" ht="14.25" customHeight="1" x14ac:dyDescent="0.3">
      <c r="C731" s="1"/>
      <c r="D731" s="118"/>
      <c r="E731" s="1"/>
      <c r="F731" s="120"/>
      <c r="G731" s="118"/>
      <c r="H731" s="120"/>
      <c r="I731" s="218"/>
    </row>
    <row r="732" spans="3:9" ht="14.25" customHeight="1" x14ac:dyDescent="0.3">
      <c r="C732" s="1"/>
      <c r="D732" s="118"/>
      <c r="E732" s="1"/>
      <c r="F732" s="120"/>
      <c r="G732" s="118"/>
      <c r="H732" s="120"/>
      <c r="I732" s="218"/>
    </row>
    <row r="733" spans="3:9" ht="14.25" customHeight="1" x14ac:dyDescent="0.3">
      <c r="C733" s="1"/>
      <c r="D733" s="118"/>
      <c r="E733" s="1"/>
      <c r="F733" s="120"/>
      <c r="G733" s="118"/>
      <c r="H733" s="120"/>
      <c r="I733" s="218"/>
    </row>
    <row r="734" spans="3:9" ht="14.25" customHeight="1" x14ac:dyDescent="0.3">
      <c r="C734" s="1"/>
      <c r="D734" s="118"/>
      <c r="E734" s="1"/>
      <c r="F734" s="120"/>
      <c r="G734" s="118"/>
      <c r="H734" s="120"/>
      <c r="I734" s="218"/>
    </row>
    <row r="735" spans="3:9" ht="14.25" customHeight="1" x14ac:dyDescent="0.3">
      <c r="C735" s="1"/>
      <c r="D735" s="118"/>
      <c r="E735" s="1"/>
      <c r="F735" s="120"/>
      <c r="G735" s="118"/>
      <c r="H735" s="120"/>
      <c r="I735" s="218"/>
    </row>
    <row r="736" spans="3:9" ht="14.25" customHeight="1" x14ac:dyDescent="0.3">
      <c r="C736" s="1"/>
      <c r="D736" s="118"/>
      <c r="E736" s="1"/>
      <c r="F736" s="120"/>
      <c r="G736" s="118"/>
      <c r="H736" s="120"/>
      <c r="I736" s="218"/>
    </row>
    <row r="737" spans="3:9" ht="14.25" customHeight="1" x14ac:dyDescent="0.3">
      <c r="C737" s="1"/>
      <c r="D737" s="118"/>
      <c r="E737" s="1"/>
      <c r="F737" s="120"/>
      <c r="G737" s="118"/>
      <c r="H737" s="120"/>
      <c r="I737" s="218"/>
    </row>
    <row r="738" spans="3:9" ht="14.25" customHeight="1" x14ac:dyDescent="0.3">
      <c r="C738" s="1"/>
      <c r="D738" s="118"/>
      <c r="E738" s="1"/>
      <c r="F738" s="120"/>
      <c r="G738" s="118"/>
      <c r="H738" s="120"/>
      <c r="I738" s="218"/>
    </row>
    <row r="739" spans="3:9" ht="14.25" customHeight="1" x14ac:dyDescent="0.3">
      <c r="C739" s="1"/>
      <c r="D739" s="118"/>
      <c r="E739" s="1"/>
      <c r="F739" s="120"/>
      <c r="G739" s="118"/>
      <c r="H739" s="120"/>
      <c r="I739" s="218"/>
    </row>
    <row r="740" spans="3:9" ht="14.25" customHeight="1" x14ac:dyDescent="0.3">
      <c r="C740" s="1"/>
      <c r="D740" s="118"/>
      <c r="E740" s="1"/>
      <c r="F740" s="120"/>
      <c r="G740" s="118"/>
      <c r="H740" s="120"/>
      <c r="I740" s="218"/>
    </row>
    <row r="741" spans="3:9" ht="14.25" customHeight="1" x14ac:dyDescent="0.3">
      <c r="C741" s="1"/>
      <c r="D741" s="118"/>
      <c r="E741" s="1"/>
      <c r="F741" s="120"/>
      <c r="G741" s="118"/>
      <c r="H741" s="120"/>
      <c r="I741" s="218"/>
    </row>
    <row r="742" spans="3:9" ht="14.25" customHeight="1" x14ac:dyDescent="0.3">
      <c r="C742" s="1"/>
      <c r="D742" s="118"/>
      <c r="E742" s="1"/>
      <c r="F742" s="120"/>
      <c r="G742" s="118"/>
      <c r="H742" s="120"/>
      <c r="I742" s="218"/>
    </row>
    <row r="743" spans="3:9" ht="14.25" customHeight="1" x14ac:dyDescent="0.3">
      <c r="C743" s="1"/>
      <c r="D743" s="118"/>
      <c r="E743" s="1"/>
      <c r="F743" s="120"/>
      <c r="G743" s="118"/>
      <c r="H743" s="120"/>
      <c r="I743" s="218"/>
    </row>
    <row r="744" spans="3:9" ht="14.25" customHeight="1" x14ac:dyDescent="0.3">
      <c r="C744" s="1"/>
      <c r="D744" s="118"/>
      <c r="E744" s="1"/>
      <c r="F744" s="120"/>
      <c r="G744" s="118"/>
      <c r="H744" s="120"/>
      <c r="I744" s="218"/>
    </row>
    <row r="745" spans="3:9" ht="14.25" customHeight="1" x14ac:dyDescent="0.3">
      <c r="C745" s="1"/>
      <c r="D745" s="118"/>
      <c r="E745" s="1"/>
      <c r="F745" s="120"/>
      <c r="G745" s="118"/>
      <c r="H745" s="120"/>
      <c r="I745" s="218"/>
    </row>
    <row r="746" spans="3:9" ht="14.25" customHeight="1" x14ac:dyDescent="0.3">
      <c r="C746" s="1"/>
      <c r="D746" s="118"/>
      <c r="E746" s="1"/>
      <c r="F746" s="120"/>
      <c r="G746" s="118"/>
      <c r="H746" s="120"/>
      <c r="I746" s="218"/>
    </row>
    <row r="747" spans="3:9" ht="14.25" customHeight="1" x14ac:dyDescent="0.3">
      <c r="C747" s="1"/>
      <c r="D747" s="118"/>
      <c r="E747" s="1"/>
      <c r="F747" s="120"/>
      <c r="G747" s="118"/>
      <c r="H747" s="120"/>
      <c r="I747" s="218"/>
    </row>
    <row r="748" spans="3:9" ht="14.25" customHeight="1" x14ac:dyDescent="0.3">
      <c r="C748" s="1"/>
      <c r="D748" s="118"/>
      <c r="E748" s="1"/>
      <c r="F748" s="120"/>
      <c r="G748" s="118"/>
      <c r="H748" s="120"/>
      <c r="I748" s="218"/>
    </row>
    <row r="749" spans="3:9" ht="14.25" customHeight="1" x14ac:dyDescent="0.3">
      <c r="C749" s="1"/>
      <c r="D749" s="118"/>
      <c r="E749" s="1"/>
      <c r="F749" s="120"/>
      <c r="G749" s="118"/>
      <c r="H749" s="120"/>
      <c r="I749" s="218"/>
    </row>
    <row r="750" spans="3:9" ht="14.25" customHeight="1" x14ac:dyDescent="0.3">
      <c r="C750" s="1"/>
      <c r="D750" s="118"/>
      <c r="E750" s="1"/>
      <c r="F750" s="120"/>
      <c r="G750" s="118"/>
      <c r="H750" s="120"/>
      <c r="I750" s="218"/>
    </row>
    <row r="751" spans="3:9" ht="14.25" customHeight="1" x14ac:dyDescent="0.3">
      <c r="C751" s="1"/>
      <c r="D751" s="118"/>
      <c r="E751" s="1"/>
      <c r="F751" s="120"/>
      <c r="G751" s="118"/>
      <c r="H751" s="120"/>
      <c r="I751" s="218"/>
    </row>
    <row r="752" spans="3:9" ht="14.25" customHeight="1" x14ac:dyDescent="0.3">
      <c r="C752" s="1"/>
      <c r="D752" s="118"/>
      <c r="E752" s="1"/>
      <c r="F752" s="120"/>
      <c r="G752" s="118"/>
      <c r="H752" s="120"/>
      <c r="I752" s="218"/>
    </row>
    <row r="753" spans="3:9" ht="14.25" customHeight="1" x14ac:dyDescent="0.3">
      <c r="C753" s="1"/>
      <c r="D753" s="118"/>
      <c r="E753" s="1"/>
      <c r="F753" s="120"/>
      <c r="G753" s="118"/>
      <c r="H753" s="120"/>
      <c r="I753" s="218"/>
    </row>
    <row r="754" spans="3:9" ht="14.25" customHeight="1" x14ac:dyDescent="0.3">
      <c r="C754" s="1"/>
      <c r="D754" s="118"/>
      <c r="E754" s="1"/>
      <c r="F754" s="120"/>
      <c r="G754" s="118"/>
      <c r="H754" s="120"/>
      <c r="I754" s="218"/>
    </row>
    <row r="755" spans="3:9" ht="14.25" customHeight="1" x14ac:dyDescent="0.3">
      <c r="C755" s="1"/>
      <c r="D755" s="118"/>
      <c r="E755" s="1"/>
      <c r="F755" s="120"/>
      <c r="G755" s="118"/>
      <c r="H755" s="120"/>
      <c r="I755" s="218"/>
    </row>
    <row r="756" spans="3:9" ht="14.25" customHeight="1" x14ac:dyDescent="0.3">
      <c r="C756" s="1"/>
      <c r="D756" s="118"/>
      <c r="E756" s="1"/>
      <c r="F756" s="120"/>
      <c r="G756" s="118"/>
      <c r="H756" s="120"/>
      <c r="I756" s="218"/>
    </row>
    <row r="757" spans="3:9" ht="14.25" customHeight="1" x14ac:dyDescent="0.3">
      <c r="C757" s="1"/>
      <c r="D757" s="118"/>
      <c r="E757" s="1"/>
      <c r="F757" s="120"/>
      <c r="G757" s="118"/>
      <c r="H757" s="120"/>
      <c r="I757" s="218"/>
    </row>
    <row r="758" spans="3:9" ht="14.25" customHeight="1" x14ac:dyDescent="0.3">
      <c r="C758" s="1"/>
      <c r="D758" s="118"/>
      <c r="E758" s="1"/>
      <c r="F758" s="120"/>
      <c r="G758" s="118"/>
      <c r="H758" s="120"/>
      <c r="I758" s="218"/>
    </row>
    <row r="759" spans="3:9" ht="14.25" customHeight="1" x14ac:dyDescent="0.3">
      <c r="C759" s="1"/>
      <c r="D759" s="118"/>
      <c r="E759" s="1"/>
      <c r="F759" s="120"/>
      <c r="G759" s="118"/>
      <c r="H759" s="120"/>
      <c r="I759" s="218"/>
    </row>
    <row r="760" spans="3:9" ht="14.25" customHeight="1" x14ac:dyDescent="0.3">
      <c r="C760" s="1"/>
      <c r="D760" s="118"/>
      <c r="E760" s="1"/>
      <c r="F760" s="120"/>
      <c r="G760" s="118"/>
      <c r="H760" s="120"/>
      <c r="I760" s="218"/>
    </row>
    <row r="761" spans="3:9" ht="14.25" customHeight="1" x14ac:dyDescent="0.3">
      <c r="C761" s="1"/>
      <c r="D761" s="118"/>
      <c r="E761" s="1"/>
      <c r="F761" s="120"/>
      <c r="G761" s="118"/>
      <c r="H761" s="120"/>
      <c r="I761" s="218"/>
    </row>
    <row r="762" spans="3:9" ht="14.25" customHeight="1" x14ac:dyDescent="0.3">
      <c r="C762" s="1"/>
      <c r="D762" s="118"/>
      <c r="E762" s="1"/>
      <c r="F762" s="120"/>
      <c r="G762" s="118"/>
      <c r="H762" s="120"/>
      <c r="I762" s="218"/>
    </row>
    <row r="763" spans="3:9" ht="14.25" customHeight="1" x14ac:dyDescent="0.3">
      <c r="C763" s="1"/>
      <c r="D763" s="118"/>
      <c r="E763" s="1"/>
      <c r="F763" s="120"/>
      <c r="G763" s="118"/>
      <c r="H763" s="120"/>
      <c r="I763" s="218"/>
    </row>
    <row r="764" spans="3:9" ht="14.25" customHeight="1" x14ac:dyDescent="0.3">
      <c r="C764" s="1"/>
      <c r="D764" s="118"/>
      <c r="E764" s="1"/>
      <c r="F764" s="120"/>
      <c r="G764" s="118"/>
      <c r="H764" s="120"/>
      <c r="I764" s="218"/>
    </row>
    <row r="765" spans="3:9" ht="14.25" customHeight="1" x14ac:dyDescent="0.3">
      <c r="C765" s="1"/>
      <c r="D765" s="118"/>
      <c r="E765" s="1"/>
      <c r="F765" s="120"/>
      <c r="G765" s="118"/>
      <c r="H765" s="120"/>
      <c r="I765" s="218"/>
    </row>
    <row r="766" spans="3:9" ht="14.25" customHeight="1" x14ac:dyDescent="0.3">
      <c r="C766" s="1"/>
      <c r="D766" s="118"/>
      <c r="E766" s="1"/>
      <c r="F766" s="120"/>
      <c r="G766" s="118"/>
      <c r="H766" s="120"/>
      <c r="I766" s="218"/>
    </row>
    <row r="767" spans="3:9" ht="14.25" customHeight="1" x14ac:dyDescent="0.3">
      <c r="C767" s="1"/>
      <c r="D767" s="118"/>
      <c r="E767" s="1"/>
      <c r="F767" s="120"/>
      <c r="G767" s="118"/>
      <c r="H767" s="120"/>
      <c r="I767" s="218"/>
    </row>
    <row r="768" spans="3:9" ht="14.25" customHeight="1" x14ac:dyDescent="0.3">
      <c r="C768" s="1"/>
      <c r="D768" s="118"/>
      <c r="E768" s="1"/>
      <c r="F768" s="120"/>
      <c r="G768" s="118"/>
      <c r="H768" s="120"/>
      <c r="I768" s="218"/>
    </row>
    <row r="769" spans="3:9" ht="14.25" customHeight="1" x14ac:dyDescent="0.3">
      <c r="C769" s="1"/>
      <c r="D769" s="118"/>
      <c r="E769" s="1"/>
      <c r="F769" s="120"/>
      <c r="G769" s="118"/>
      <c r="H769" s="120"/>
      <c r="I769" s="218"/>
    </row>
    <row r="770" spans="3:9" ht="14.25" customHeight="1" x14ac:dyDescent="0.3">
      <c r="C770" s="1"/>
      <c r="D770" s="118"/>
      <c r="E770" s="1"/>
      <c r="F770" s="120"/>
      <c r="G770" s="118"/>
      <c r="H770" s="120"/>
      <c r="I770" s="218"/>
    </row>
    <row r="771" spans="3:9" ht="14.25" customHeight="1" x14ac:dyDescent="0.3">
      <c r="C771" s="1"/>
      <c r="D771" s="118"/>
      <c r="E771" s="1"/>
      <c r="F771" s="120"/>
      <c r="G771" s="118"/>
      <c r="H771" s="120"/>
      <c r="I771" s="218"/>
    </row>
    <row r="772" spans="3:9" ht="14.25" customHeight="1" x14ac:dyDescent="0.3">
      <c r="C772" s="1"/>
      <c r="D772" s="118"/>
      <c r="E772" s="1"/>
      <c r="F772" s="120"/>
      <c r="G772" s="118"/>
      <c r="H772" s="120"/>
      <c r="I772" s="218"/>
    </row>
    <row r="773" spans="3:9" ht="14.25" customHeight="1" x14ac:dyDescent="0.3">
      <c r="C773" s="1"/>
      <c r="D773" s="118"/>
      <c r="E773" s="1"/>
      <c r="F773" s="120"/>
      <c r="G773" s="118"/>
      <c r="H773" s="120"/>
      <c r="I773" s="218"/>
    </row>
    <row r="774" spans="3:9" ht="14.25" customHeight="1" x14ac:dyDescent="0.3">
      <c r="C774" s="1"/>
      <c r="D774" s="118"/>
      <c r="E774" s="1"/>
      <c r="F774" s="120"/>
      <c r="G774" s="118"/>
      <c r="H774" s="120"/>
      <c r="I774" s="218"/>
    </row>
    <row r="775" spans="3:9" ht="14.25" customHeight="1" x14ac:dyDescent="0.3">
      <c r="C775" s="1"/>
      <c r="D775" s="118"/>
      <c r="E775" s="1"/>
      <c r="F775" s="120"/>
      <c r="G775" s="118"/>
      <c r="H775" s="120"/>
      <c r="I775" s="218"/>
    </row>
    <row r="776" spans="3:9" ht="14.25" customHeight="1" x14ac:dyDescent="0.3">
      <c r="C776" s="1"/>
      <c r="D776" s="118"/>
      <c r="E776" s="1"/>
      <c r="F776" s="120"/>
      <c r="G776" s="118"/>
      <c r="H776" s="120"/>
      <c r="I776" s="218"/>
    </row>
    <row r="777" spans="3:9" ht="14.25" customHeight="1" x14ac:dyDescent="0.3">
      <c r="C777" s="1"/>
      <c r="D777" s="118"/>
      <c r="E777" s="1"/>
      <c r="F777" s="120"/>
      <c r="G777" s="118"/>
      <c r="H777" s="120"/>
      <c r="I777" s="218"/>
    </row>
    <row r="778" spans="3:9" ht="14.25" customHeight="1" x14ac:dyDescent="0.3">
      <c r="C778" s="1"/>
      <c r="D778" s="118"/>
      <c r="E778" s="1"/>
      <c r="F778" s="120"/>
      <c r="G778" s="118"/>
      <c r="H778" s="120"/>
      <c r="I778" s="218"/>
    </row>
    <row r="779" spans="3:9" ht="14.25" customHeight="1" x14ac:dyDescent="0.3">
      <c r="C779" s="1"/>
      <c r="D779" s="118"/>
      <c r="E779" s="1"/>
      <c r="F779" s="120"/>
      <c r="G779" s="118"/>
      <c r="H779" s="120"/>
      <c r="I779" s="218"/>
    </row>
    <row r="780" spans="3:9" ht="14.25" customHeight="1" x14ac:dyDescent="0.3">
      <c r="C780" s="1"/>
      <c r="D780" s="118"/>
      <c r="E780" s="1"/>
      <c r="F780" s="120"/>
      <c r="G780" s="118"/>
      <c r="H780" s="120"/>
      <c r="I780" s="218"/>
    </row>
    <row r="781" spans="3:9" ht="14.25" customHeight="1" x14ac:dyDescent="0.3">
      <c r="C781" s="1"/>
      <c r="D781" s="118"/>
      <c r="E781" s="1"/>
      <c r="F781" s="120"/>
      <c r="G781" s="118"/>
      <c r="H781" s="120"/>
      <c r="I781" s="218"/>
    </row>
    <row r="782" spans="3:9" ht="14.25" customHeight="1" x14ac:dyDescent="0.3">
      <c r="C782" s="1"/>
      <c r="D782" s="118"/>
      <c r="E782" s="1"/>
      <c r="F782" s="120"/>
      <c r="G782" s="118"/>
      <c r="H782" s="120"/>
      <c r="I782" s="218"/>
    </row>
    <row r="783" spans="3:9" ht="14.25" customHeight="1" x14ac:dyDescent="0.3">
      <c r="C783" s="1"/>
      <c r="D783" s="118"/>
      <c r="E783" s="1"/>
      <c r="F783" s="120"/>
      <c r="G783" s="118"/>
      <c r="H783" s="120"/>
      <c r="I783" s="218"/>
    </row>
    <row r="784" spans="3:9" ht="14.25" customHeight="1" x14ac:dyDescent="0.3">
      <c r="C784" s="1"/>
      <c r="D784" s="118"/>
      <c r="E784" s="1"/>
      <c r="F784" s="120"/>
      <c r="G784" s="118"/>
      <c r="H784" s="120"/>
      <c r="I784" s="218"/>
    </row>
    <row r="785" spans="3:9" ht="14.25" customHeight="1" x14ac:dyDescent="0.3">
      <c r="C785" s="1"/>
      <c r="D785" s="118"/>
      <c r="E785" s="1"/>
      <c r="F785" s="120"/>
      <c r="G785" s="118"/>
      <c r="H785" s="120"/>
      <c r="I785" s="218"/>
    </row>
    <row r="786" spans="3:9" ht="14.25" customHeight="1" x14ac:dyDescent="0.3">
      <c r="C786" s="1"/>
      <c r="D786" s="118"/>
      <c r="E786" s="1"/>
      <c r="F786" s="120"/>
      <c r="G786" s="118"/>
      <c r="H786" s="120"/>
      <c r="I786" s="218"/>
    </row>
    <row r="787" spans="3:9" ht="14.25" customHeight="1" x14ac:dyDescent="0.3">
      <c r="C787" s="1"/>
      <c r="D787" s="118"/>
      <c r="E787" s="1"/>
      <c r="F787" s="120"/>
      <c r="G787" s="118"/>
      <c r="H787" s="120"/>
      <c r="I787" s="218"/>
    </row>
    <row r="788" spans="3:9" ht="14.25" customHeight="1" x14ac:dyDescent="0.3">
      <c r="C788" s="1"/>
      <c r="D788" s="118"/>
      <c r="E788" s="1"/>
      <c r="F788" s="120"/>
      <c r="G788" s="118"/>
      <c r="H788" s="120"/>
      <c r="I788" s="218"/>
    </row>
    <row r="789" spans="3:9" ht="14.25" customHeight="1" x14ac:dyDescent="0.3">
      <c r="C789" s="1"/>
      <c r="D789" s="118"/>
      <c r="E789" s="1"/>
      <c r="F789" s="120"/>
      <c r="G789" s="118"/>
      <c r="H789" s="120"/>
      <c r="I789" s="218"/>
    </row>
    <row r="790" spans="3:9" ht="14.25" customHeight="1" x14ac:dyDescent="0.3">
      <c r="C790" s="1"/>
      <c r="D790" s="118"/>
      <c r="E790" s="1"/>
      <c r="F790" s="120"/>
      <c r="G790" s="118"/>
      <c r="H790" s="120"/>
      <c r="I790" s="218"/>
    </row>
    <row r="791" spans="3:9" ht="14.25" customHeight="1" x14ac:dyDescent="0.3">
      <c r="C791" s="1"/>
      <c r="D791" s="118"/>
      <c r="E791" s="1"/>
      <c r="F791" s="120"/>
      <c r="G791" s="118"/>
      <c r="H791" s="120"/>
      <c r="I791" s="218"/>
    </row>
    <row r="792" spans="3:9" ht="14.25" customHeight="1" x14ac:dyDescent="0.3">
      <c r="C792" s="1"/>
      <c r="D792" s="118"/>
      <c r="E792" s="1"/>
      <c r="F792" s="120"/>
      <c r="G792" s="118"/>
      <c r="H792" s="120"/>
      <c r="I792" s="218"/>
    </row>
    <row r="793" spans="3:9" ht="14.25" customHeight="1" x14ac:dyDescent="0.3">
      <c r="C793" s="1"/>
      <c r="D793" s="118"/>
      <c r="E793" s="1"/>
      <c r="F793" s="120"/>
      <c r="G793" s="118"/>
      <c r="H793" s="120"/>
      <c r="I793" s="218"/>
    </row>
    <row r="794" spans="3:9" ht="14.25" customHeight="1" x14ac:dyDescent="0.3">
      <c r="C794" s="1"/>
      <c r="D794" s="118"/>
      <c r="E794" s="1"/>
      <c r="F794" s="120"/>
      <c r="G794" s="118"/>
      <c r="H794" s="120"/>
      <c r="I794" s="218"/>
    </row>
    <row r="795" spans="3:9" ht="14.25" customHeight="1" x14ac:dyDescent="0.3">
      <c r="C795" s="1"/>
      <c r="D795" s="118"/>
      <c r="E795" s="1"/>
      <c r="F795" s="120"/>
      <c r="G795" s="118"/>
      <c r="H795" s="120"/>
      <c r="I795" s="218"/>
    </row>
    <row r="796" spans="3:9" ht="14.25" customHeight="1" x14ac:dyDescent="0.3">
      <c r="C796" s="1"/>
      <c r="D796" s="118"/>
      <c r="E796" s="1"/>
      <c r="F796" s="120"/>
      <c r="G796" s="118"/>
      <c r="H796" s="120"/>
      <c r="I796" s="218"/>
    </row>
    <row r="797" spans="3:9" ht="14.25" customHeight="1" x14ac:dyDescent="0.3">
      <c r="C797" s="1"/>
      <c r="D797" s="118"/>
      <c r="E797" s="1"/>
      <c r="F797" s="120"/>
      <c r="G797" s="118"/>
      <c r="H797" s="120"/>
      <c r="I797" s="218"/>
    </row>
    <row r="798" spans="3:9" ht="14.25" customHeight="1" x14ac:dyDescent="0.3">
      <c r="C798" s="1"/>
      <c r="D798" s="118"/>
      <c r="E798" s="1"/>
      <c r="F798" s="120"/>
      <c r="G798" s="118"/>
      <c r="H798" s="120"/>
      <c r="I798" s="218"/>
    </row>
    <row r="799" spans="3:9" ht="14.25" customHeight="1" x14ac:dyDescent="0.3">
      <c r="C799" s="1"/>
      <c r="D799" s="118"/>
      <c r="E799" s="1"/>
      <c r="F799" s="120"/>
      <c r="G799" s="118"/>
      <c r="H799" s="120"/>
      <c r="I799" s="218"/>
    </row>
    <row r="800" spans="3:9" ht="14.25" customHeight="1" x14ac:dyDescent="0.3">
      <c r="C800" s="1"/>
      <c r="D800" s="118"/>
      <c r="E800" s="1"/>
      <c r="F800" s="120"/>
      <c r="G800" s="118"/>
      <c r="H800" s="120"/>
      <c r="I800" s="218"/>
    </row>
    <row r="801" spans="3:9" ht="14.25" customHeight="1" x14ac:dyDescent="0.3">
      <c r="C801" s="1"/>
      <c r="D801" s="118"/>
      <c r="E801" s="1"/>
      <c r="F801" s="120"/>
      <c r="G801" s="118"/>
      <c r="H801" s="120"/>
      <c r="I801" s="218"/>
    </row>
    <row r="802" spans="3:9" ht="14.25" customHeight="1" x14ac:dyDescent="0.3">
      <c r="C802" s="1"/>
      <c r="D802" s="118"/>
      <c r="E802" s="1"/>
      <c r="F802" s="120"/>
      <c r="G802" s="118"/>
      <c r="H802" s="120"/>
      <c r="I802" s="218"/>
    </row>
    <row r="803" spans="3:9" ht="14.25" customHeight="1" x14ac:dyDescent="0.3">
      <c r="C803" s="1"/>
      <c r="D803" s="118"/>
      <c r="E803" s="1"/>
      <c r="F803" s="120"/>
      <c r="G803" s="118"/>
      <c r="H803" s="120"/>
      <c r="I803" s="218"/>
    </row>
    <row r="804" spans="3:9" ht="14.25" customHeight="1" x14ac:dyDescent="0.3">
      <c r="C804" s="1"/>
      <c r="D804" s="118"/>
      <c r="E804" s="1"/>
      <c r="F804" s="120"/>
      <c r="G804" s="118"/>
      <c r="H804" s="120"/>
      <c r="I804" s="218"/>
    </row>
    <row r="805" spans="3:9" ht="14.25" customHeight="1" x14ac:dyDescent="0.3">
      <c r="C805" s="1"/>
      <c r="D805" s="118"/>
      <c r="E805" s="1"/>
      <c r="F805" s="120"/>
      <c r="G805" s="118"/>
      <c r="H805" s="120"/>
      <c r="I805" s="218"/>
    </row>
    <row r="806" spans="3:9" ht="14.25" customHeight="1" x14ac:dyDescent="0.3">
      <c r="C806" s="1"/>
      <c r="D806" s="118"/>
      <c r="E806" s="1"/>
      <c r="F806" s="120"/>
      <c r="G806" s="118"/>
      <c r="H806" s="120"/>
      <c r="I806" s="218"/>
    </row>
    <row r="807" spans="3:9" ht="14.25" customHeight="1" x14ac:dyDescent="0.3">
      <c r="C807" s="1"/>
      <c r="D807" s="118"/>
      <c r="E807" s="1"/>
      <c r="F807" s="120"/>
      <c r="G807" s="118"/>
      <c r="H807" s="120"/>
      <c r="I807" s="218"/>
    </row>
    <row r="808" spans="3:9" ht="14.25" customHeight="1" x14ac:dyDescent="0.3">
      <c r="C808" s="1"/>
      <c r="D808" s="118"/>
      <c r="E808" s="1"/>
      <c r="F808" s="120"/>
      <c r="G808" s="118"/>
      <c r="H808" s="120"/>
      <c r="I808" s="218"/>
    </row>
    <row r="809" spans="3:9" ht="14.25" customHeight="1" x14ac:dyDescent="0.3">
      <c r="C809" s="1"/>
      <c r="D809" s="118"/>
      <c r="E809" s="1"/>
      <c r="F809" s="120"/>
      <c r="G809" s="118"/>
      <c r="H809" s="120"/>
      <c r="I809" s="218"/>
    </row>
    <row r="810" spans="3:9" ht="14.25" customHeight="1" x14ac:dyDescent="0.3">
      <c r="C810" s="1"/>
      <c r="D810" s="118"/>
      <c r="E810" s="1"/>
      <c r="F810" s="120"/>
      <c r="G810" s="118"/>
      <c r="H810" s="120"/>
      <c r="I810" s="218"/>
    </row>
    <row r="811" spans="3:9" ht="14.25" customHeight="1" x14ac:dyDescent="0.3">
      <c r="C811" s="1"/>
      <c r="D811" s="118"/>
      <c r="E811" s="1"/>
      <c r="F811" s="120"/>
      <c r="G811" s="118"/>
      <c r="H811" s="120"/>
      <c r="I811" s="218"/>
    </row>
    <row r="812" spans="3:9" ht="14.25" customHeight="1" x14ac:dyDescent="0.3">
      <c r="C812" s="1"/>
      <c r="D812" s="118"/>
      <c r="E812" s="1"/>
      <c r="F812" s="120"/>
      <c r="G812" s="118"/>
      <c r="H812" s="120"/>
      <c r="I812" s="218"/>
    </row>
    <row r="813" spans="3:9" ht="14.25" customHeight="1" x14ac:dyDescent="0.3">
      <c r="C813" s="1"/>
      <c r="D813" s="118"/>
      <c r="E813" s="1"/>
      <c r="F813" s="120"/>
      <c r="G813" s="118"/>
      <c r="H813" s="120"/>
      <c r="I813" s="218"/>
    </row>
    <row r="814" spans="3:9" ht="14.25" customHeight="1" x14ac:dyDescent="0.3">
      <c r="C814" s="1"/>
      <c r="D814" s="118"/>
      <c r="E814" s="1"/>
      <c r="F814" s="120"/>
      <c r="G814" s="118"/>
      <c r="H814" s="120"/>
      <c r="I814" s="218"/>
    </row>
    <row r="815" spans="3:9" ht="14.25" customHeight="1" x14ac:dyDescent="0.3">
      <c r="C815" s="1"/>
      <c r="D815" s="118"/>
      <c r="E815" s="1"/>
      <c r="F815" s="120"/>
      <c r="G815" s="118"/>
      <c r="H815" s="120"/>
      <c r="I815" s="218"/>
    </row>
    <row r="816" spans="3:9" ht="14.25" customHeight="1" x14ac:dyDescent="0.3">
      <c r="C816" s="1"/>
      <c r="D816" s="118"/>
      <c r="E816" s="1"/>
      <c r="F816" s="120"/>
      <c r="G816" s="118"/>
      <c r="H816" s="120"/>
      <c r="I816" s="218"/>
    </row>
    <row r="817" spans="3:9" ht="14.25" customHeight="1" x14ac:dyDescent="0.3">
      <c r="C817" s="1"/>
      <c r="D817" s="118"/>
      <c r="E817" s="1"/>
      <c r="F817" s="120"/>
      <c r="G817" s="118"/>
      <c r="H817" s="120"/>
      <c r="I817" s="218"/>
    </row>
    <row r="818" spans="3:9" ht="14.25" customHeight="1" x14ac:dyDescent="0.3">
      <c r="C818" s="1"/>
      <c r="D818" s="118"/>
      <c r="E818" s="1"/>
      <c r="F818" s="120"/>
      <c r="G818" s="118"/>
      <c r="H818" s="120"/>
      <c r="I818" s="218"/>
    </row>
    <row r="819" spans="3:9" ht="14.25" customHeight="1" x14ac:dyDescent="0.3">
      <c r="C819" s="1"/>
      <c r="D819" s="118"/>
      <c r="E819" s="1"/>
      <c r="F819" s="120"/>
      <c r="G819" s="118"/>
      <c r="H819" s="120"/>
      <c r="I819" s="218"/>
    </row>
    <row r="820" spans="3:9" ht="14.25" customHeight="1" x14ac:dyDescent="0.3">
      <c r="C820" s="1"/>
      <c r="D820" s="118"/>
      <c r="E820" s="1"/>
      <c r="F820" s="120"/>
      <c r="G820" s="118"/>
      <c r="H820" s="120"/>
      <c r="I820" s="218"/>
    </row>
    <row r="821" spans="3:9" ht="14.25" customHeight="1" x14ac:dyDescent="0.3">
      <c r="C821" s="1"/>
      <c r="D821" s="118"/>
      <c r="E821" s="1"/>
      <c r="F821" s="120"/>
      <c r="G821" s="118"/>
      <c r="H821" s="120"/>
      <c r="I821" s="218"/>
    </row>
    <row r="822" spans="3:9" ht="14.25" customHeight="1" x14ac:dyDescent="0.3">
      <c r="C822" s="1"/>
      <c r="D822" s="118"/>
      <c r="E822" s="1"/>
      <c r="F822" s="120"/>
      <c r="G822" s="118"/>
      <c r="H822" s="120"/>
      <c r="I822" s="218"/>
    </row>
    <row r="823" spans="3:9" ht="14.25" customHeight="1" x14ac:dyDescent="0.3">
      <c r="C823" s="1"/>
      <c r="D823" s="118"/>
      <c r="E823" s="1"/>
      <c r="F823" s="120"/>
      <c r="G823" s="118"/>
      <c r="H823" s="120"/>
      <c r="I823" s="218"/>
    </row>
    <row r="824" spans="3:9" ht="14.25" customHeight="1" x14ac:dyDescent="0.3">
      <c r="C824" s="1"/>
      <c r="D824" s="118"/>
      <c r="E824" s="1"/>
      <c r="F824" s="120"/>
      <c r="G824" s="118"/>
      <c r="H824" s="120"/>
      <c r="I824" s="218"/>
    </row>
    <row r="825" spans="3:9" ht="14.25" customHeight="1" x14ac:dyDescent="0.3">
      <c r="C825" s="1"/>
      <c r="D825" s="118"/>
      <c r="E825" s="1"/>
      <c r="F825" s="120"/>
      <c r="G825" s="118"/>
      <c r="H825" s="120"/>
      <c r="I825" s="218"/>
    </row>
    <row r="826" spans="3:9" ht="14.25" customHeight="1" x14ac:dyDescent="0.3">
      <c r="C826" s="1"/>
      <c r="D826" s="118"/>
      <c r="E826" s="1"/>
      <c r="F826" s="120"/>
      <c r="G826" s="118"/>
      <c r="H826" s="120"/>
      <c r="I826" s="218"/>
    </row>
    <row r="827" spans="3:9" ht="14.25" customHeight="1" x14ac:dyDescent="0.3">
      <c r="C827" s="1"/>
      <c r="D827" s="118"/>
      <c r="E827" s="1"/>
      <c r="F827" s="120"/>
      <c r="G827" s="118"/>
      <c r="H827" s="120"/>
      <c r="I827" s="218"/>
    </row>
    <row r="828" spans="3:9" ht="14.25" customHeight="1" x14ac:dyDescent="0.3">
      <c r="C828" s="1"/>
      <c r="D828" s="118"/>
      <c r="E828" s="1"/>
      <c r="F828" s="120"/>
      <c r="G828" s="118"/>
      <c r="H828" s="120"/>
      <c r="I828" s="218"/>
    </row>
    <row r="829" spans="3:9" ht="14.25" customHeight="1" x14ac:dyDescent="0.3">
      <c r="C829" s="1"/>
      <c r="D829" s="118"/>
      <c r="E829" s="1"/>
      <c r="F829" s="120"/>
      <c r="G829" s="118"/>
      <c r="H829" s="120"/>
      <c r="I829" s="218"/>
    </row>
    <row r="830" spans="3:9" ht="14.25" customHeight="1" x14ac:dyDescent="0.3">
      <c r="C830" s="1"/>
      <c r="D830" s="118"/>
      <c r="E830" s="1"/>
      <c r="F830" s="120"/>
      <c r="G830" s="118"/>
      <c r="H830" s="120"/>
      <c r="I830" s="218"/>
    </row>
    <row r="831" spans="3:9" ht="14.25" customHeight="1" x14ac:dyDescent="0.3">
      <c r="C831" s="1"/>
      <c r="D831" s="118"/>
      <c r="E831" s="1"/>
      <c r="F831" s="120"/>
      <c r="G831" s="118"/>
      <c r="H831" s="120"/>
      <c r="I831" s="218"/>
    </row>
    <row r="832" spans="3:9" ht="14.25" customHeight="1" x14ac:dyDescent="0.3">
      <c r="C832" s="1"/>
      <c r="D832" s="118"/>
      <c r="E832" s="1"/>
      <c r="F832" s="120"/>
      <c r="G832" s="118"/>
      <c r="H832" s="120"/>
      <c r="I832" s="218"/>
    </row>
    <row r="833" spans="3:9" ht="14.25" customHeight="1" x14ac:dyDescent="0.3">
      <c r="C833" s="1"/>
      <c r="D833" s="118"/>
      <c r="E833" s="1"/>
      <c r="F833" s="120"/>
      <c r="G833" s="118"/>
      <c r="H833" s="120"/>
      <c r="I833" s="218"/>
    </row>
    <row r="834" spans="3:9" ht="14.25" customHeight="1" x14ac:dyDescent="0.3">
      <c r="C834" s="1"/>
      <c r="D834" s="118"/>
      <c r="E834" s="1"/>
      <c r="F834" s="120"/>
      <c r="G834" s="118"/>
      <c r="H834" s="120"/>
      <c r="I834" s="218"/>
    </row>
    <row r="835" spans="3:9" ht="14.25" customHeight="1" x14ac:dyDescent="0.3">
      <c r="C835" s="1"/>
      <c r="D835" s="118"/>
      <c r="E835" s="1"/>
      <c r="F835" s="120"/>
      <c r="G835" s="118"/>
      <c r="H835" s="120"/>
      <c r="I835" s="218"/>
    </row>
    <row r="836" spans="3:9" ht="14.25" customHeight="1" x14ac:dyDescent="0.3">
      <c r="C836" s="1"/>
      <c r="D836" s="118"/>
      <c r="E836" s="1"/>
      <c r="F836" s="120"/>
      <c r="G836" s="118"/>
      <c r="H836" s="120"/>
      <c r="I836" s="218"/>
    </row>
    <row r="837" spans="3:9" ht="14.25" customHeight="1" x14ac:dyDescent="0.3">
      <c r="C837" s="1"/>
      <c r="D837" s="118"/>
      <c r="E837" s="1"/>
      <c r="F837" s="120"/>
      <c r="G837" s="118"/>
      <c r="H837" s="120"/>
      <c r="I837" s="218"/>
    </row>
    <row r="838" spans="3:9" ht="14.25" customHeight="1" x14ac:dyDescent="0.3">
      <c r="C838" s="1"/>
      <c r="D838" s="118"/>
      <c r="E838" s="1"/>
      <c r="F838" s="120"/>
      <c r="G838" s="118"/>
      <c r="H838" s="120"/>
      <c r="I838" s="218"/>
    </row>
    <row r="839" spans="3:9" ht="14.25" customHeight="1" x14ac:dyDescent="0.3">
      <c r="C839" s="1"/>
      <c r="D839" s="118"/>
      <c r="E839" s="1"/>
      <c r="F839" s="120"/>
      <c r="G839" s="118"/>
      <c r="H839" s="120"/>
      <c r="I839" s="218"/>
    </row>
    <row r="840" spans="3:9" ht="14.25" customHeight="1" x14ac:dyDescent="0.3">
      <c r="C840" s="1"/>
      <c r="D840" s="118"/>
      <c r="E840" s="1"/>
      <c r="F840" s="120"/>
      <c r="G840" s="118"/>
      <c r="H840" s="120"/>
      <c r="I840" s="218"/>
    </row>
    <row r="841" spans="3:9" ht="14.25" customHeight="1" x14ac:dyDescent="0.3">
      <c r="C841" s="1"/>
      <c r="D841" s="118"/>
      <c r="E841" s="1"/>
      <c r="F841" s="120"/>
      <c r="G841" s="118"/>
      <c r="H841" s="120"/>
      <c r="I841" s="218"/>
    </row>
    <row r="842" spans="3:9" ht="14.25" customHeight="1" x14ac:dyDescent="0.3">
      <c r="C842" s="1"/>
      <c r="D842" s="118"/>
      <c r="E842" s="1"/>
      <c r="F842" s="120"/>
      <c r="G842" s="118"/>
      <c r="H842" s="120"/>
      <c r="I842" s="218"/>
    </row>
    <row r="843" spans="3:9" ht="14.25" customHeight="1" x14ac:dyDescent="0.3">
      <c r="C843" s="1"/>
      <c r="D843" s="118"/>
      <c r="E843" s="1"/>
      <c r="F843" s="120"/>
      <c r="G843" s="118"/>
      <c r="H843" s="120"/>
      <c r="I843" s="218"/>
    </row>
    <row r="844" spans="3:9" ht="14.25" customHeight="1" x14ac:dyDescent="0.3">
      <c r="C844" s="1"/>
      <c r="D844" s="118"/>
      <c r="E844" s="1"/>
      <c r="F844" s="120"/>
      <c r="G844" s="118"/>
      <c r="H844" s="120"/>
      <c r="I844" s="218"/>
    </row>
    <row r="845" spans="3:9" ht="14.25" customHeight="1" x14ac:dyDescent="0.3">
      <c r="C845" s="1"/>
      <c r="D845" s="118"/>
      <c r="E845" s="1"/>
      <c r="F845" s="120"/>
      <c r="G845" s="118"/>
      <c r="H845" s="120"/>
      <c r="I845" s="218"/>
    </row>
    <row r="846" spans="3:9" ht="14.25" customHeight="1" x14ac:dyDescent="0.3">
      <c r="C846" s="1"/>
      <c r="D846" s="118"/>
      <c r="E846" s="1"/>
      <c r="F846" s="120"/>
      <c r="G846" s="118"/>
      <c r="H846" s="120"/>
      <c r="I846" s="218"/>
    </row>
    <row r="847" spans="3:9" ht="14.25" customHeight="1" x14ac:dyDescent="0.3">
      <c r="C847" s="1"/>
      <c r="D847" s="118"/>
      <c r="E847" s="1"/>
      <c r="F847" s="120"/>
      <c r="G847" s="118"/>
      <c r="H847" s="120"/>
      <c r="I847" s="218"/>
    </row>
    <row r="848" spans="3:9" ht="14.25" customHeight="1" x14ac:dyDescent="0.3">
      <c r="C848" s="1"/>
      <c r="D848" s="118"/>
      <c r="E848" s="1"/>
      <c r="F848" s="120"/>
      <c r="G848" s="118"/>
      <c r="H848" s="120"/>
      <c r="I848" s="218"/>
    </row>
    <row r="849" spans="3:9" ht="14.25" customHeight="1" x14ac:dyDescent="0.3">
      <c r="C849" s="1"/>
      <c r="D849" s="118"/>
      <c r="E849" s="1"/>
      <c r="F849" s="120"/>
      <c r="G849" s="118"/>
      <c r="H849" s="120"/>
      <c r="I849" s="218"/>
    </row>
    <row r="850" spans="3:9" ht="14.25" customHeight="1" x14ac:dyDescent="0.3">
      <c r="C850" s="1"/>
      <c r="D850" s="118"/>
      <c r="E850" s="1"/>
      <c r="F850" s="120"/>
      <c r="G850" s="118"/>
      <c r="H850" s="120"/>
      <c r="I850" s="218"/>
    </row>
    <row r="851" spans="3:9" ht="14.25" customHeight="1" x14ac:dyDescent="0.3">
      <c r="C851" s="1"/>
      <c r="D851" s="118"/>
      <c r="E851" s="1"/>
      <c r="F851" s="120"/>
      <c r="G851" s="118"/>
      <c r="H851" s="120"/>
      <c r="I851" s="218"/>
    </row>
    <row r="852" spans="3:9" ht="14.25" customHeight="1" x14ac:dyDescent="0.3">
      <c r="C852" s="1"/>
      <c r="D852" s="118"/>
      <c r="E852" s="1"/>
      <c r="F852" s="120"/>
      <c r="G852" s="118"/>
      <c r="H852" s="120"/>
      <c r="I852" s="218"/>
    </row>
    <row r="853" spans="3:9" ht="14.25" customHeight="1" x14ac:dyDescent="0.3">
      <c r="C853" s="1"/>
      <c r="D853" s="118"/>
      <c r="E853" s="1"/>
      <c r="F853" s="120"/>
      <c r="G853" s="118"/>
      <c r="H853" s="120"/>
      <c r="I853" s="218"/>
    </row>
    <row r="854" spans="3:9" ht="14.25" customHeight="1" x14ac:dyDescent="0.3">
      <c r="C854" s="1"/>
      <c r="D854" s="118"/>
      <c r="E854" s="1"/>
      <c r="F854" s="120"/>
      <c r="G854" s="118"/>
      <c r="H854" s="120"/>
      <c r="I854" s="218"/>
    </row>
    <row r="855" spans="3:9" ht="14.25" customHeight="1" x14ac:dyDescent="0.3">
      <c r="C855" s="1"/>
      <c r="D855" s="118"/>
      <c r="E855" s="1"/>
      <c r="F855" s="120"/>
      <c r="G855" s="118"/>
      <c r="H855" s="120"/>
      <c r="I855" s="218"/>
    </row>
    <row r="856" spans="3:9" ht="14.25" customHeight="1" x14ac:dyDescent="0.3">
      <c r="C856" s="1"/>
      <c r="D856" s="118"/>
      <c r="E856" s="1"/>
      <c r="F856" s="120"/>
      <c r="G856" s="118"/>
      <c r="H856" s="120"/>
      <c r="I856" s="218"/>
    </row>
    <row r="857" spans="3:9" ht="14.25" customHeight="1" x14ac:dyDescent="0.3">
      <c r="C857" s="1"/>
      <c r="D857" s="118"/>
      <c r="E857" s="1"/>
      <c r="F857" s="120"/>
      <c r="G857" s="118"/>
      <c r="H857" s="120"/>
      <c r="I857" s="218"/>
    </row>
    <row r="858" spans="3:9" ht="14.25" customHeight="1" x14ac:dyDescent="0.3">
      <c r="C858" s="1"/>
      <c r="D858" s="118"/>
      <c r="E858" s="1"/>
      <c r="F858" s="120"/>
      <c r="G858" s="118"/>
      <c r="H858" s="120"/>
      <c r="I858" s="218"/>
    </row>
    <row r="859" spans="3:9" ht="14.25" customHeight="1" x14ac:dyDescent="0.3">
      <c r="C859" s="1"/>
      <c r="D859" s="118"/>
      <c r="E859" s="1"/>
      <c r="F859" s="120"/>
      <c r="G859" s="118"/>
      <c r="H859" s="120"/>
      <c r="I859" s="218"/>
    </row>
    <row r="860" spans="3:9" ht="14.25" customHeight="1" x14ac:dyDescent="0.3">
      <c r="C860" s="1"/>
      <c r="D860" s="118"/>
      <c r="E860" s="1"/>
      <c r="F860" s="120"/>
      <c r="G860" s="118"/>
      <c r="H860" s="120"/>
      <c r="I860" s="218"/>
    </row>
    <row r="861" spans="3:9" ht="14.25" customHeight="1" x14ac:dyDescent="0.3">
      <c r="C861" s="1"/>
      <c r="D861" s="118"/>
      <c r="E861" s="1"/>
      <c r="F861" s="120"/>
      <c r="G861" s="118"/>
      <c r="H861" s="120"/>
      <c r="I861" s="218"/>
    </row>
    <row r="862" spans="3:9" ht="14.25" customHeight="1" x14ac:dyDescent="0.3">
      <c r="C862" s="1"/>
      <c r="D862" s="118"/>
      <c r="E862" s="1"/>
      <c r="F862" s="120"/>
      <c r="G862" s="118"/>
      <c r="H862" s="120"/>
      <c r="I862" s="218"/>
    </row>
    <row r="863" spans="3:9" ht="14.25" customHeight="1" x14ac:dyDescent="0.3">
      <c r="C863" s="1"/>
      <c r="D863" s="118"/>
      <c r="E863" s="1"/>
      <c r="F863" s="120"/>
      <c r="G863" s="118"/>
      <c r="H863" s="120"/>
      <c r="I863" s="218"/>
    </row>
    <row r="864" spans="3:9" ht="14.25" customHeight="1" x14ac:dyDescent="0.3">
      <c r="C864" s="1"/>
      <c r="D864" s="118"/>
      <c r="E864" s="1"/>
      <c r="F864" s="120"/>
      <c r="G864" s="118"/>
      <c r="H864" s="120"/>
      <c r="I864" s="218"/>
    </row>
    <row r="865" spans="3:9" ht="14.25" customHeight="1" x14ac:dyDescent="0.3">
      <c r="C865" s="1"/>
      <c r="D865" s="118"/>
      <c r="E865" s="1"/>
      <c r="F865" s="120"/>
      <c r="G865" s="118"/>
      <c r="H865" s="120"/>
      <c r="I865" s="218"/>
    </row>
    <row r="866" spans="3:9" ht="14.25" customHeight="1" x14ac:dyDescent="0.3">
      <c r="C866" s="1"/>
      <c r="D866" s="118"/>
      <c r="E866" s="1"/>
      <c r="F866" s="120"/>
      <c r="G866" s="118"/>
      <c r="H866" s="120"/>
      <c r="I866" s="218"/>
    </row>
    <row r="867" spans="3:9" ht="14.25" customHeight="1" x14ac:dyDescent="0.3">
      <c r="C867" s="1"/>
      <c r="D867" s="118"/>
      <c r="E867" s="1"/>
      <c r="F867" s="120"/>
      <c r="G867" s="118"/>
      <c r="H867" s="120"/>
      <c r="I867" s="218"/>
    </row>
    <row r="868" spans="3:9" ht="14.25" customHeight="1" x14ac:dyDescent="0.3">
      <c r="C868" s="1"/>
      <c r="D868" s="118"/>
      <c r="E868" s="1"/>
      <c r="F868" s="120"/>
      <c r="G868" s="118"/>
      <c r="H868" s="120"/>
      <c r="I868" s="218"/>
    </row>
    <row r="869" spans="3:9" ht="14.25" customHeight="1" x14ac:dyDescent="0.3">
      <c r="C869" s="1"/>
      <c r="D869" s="118"/>
      <c r="E869" s="1"/>
      <c r="F869" s="120"/>
      <c r="G869" s="118"/>
      <c r="H869" s="120"/>
      <c r="I869" s="218"/>
    </row>
    <row r="870" spans="3:9" ht="14.25" customHeight="1" x14ac:dyDescent="0.3">
      <c r="C870" s="1"/>
      <c r="D870" s="118"/>
      <c r="E870" s="1"/>
      <c r="F870" s="120"/>
      <c r="G870" s="118"/>
      <c r="H870" s="120"/>
      <c r="I870" s="218"/>
    </row>
    <row r="871" spans="3:9" ht="14.25" customHeight="1" x14ac:dyDescent="0.3">
      <c r="C871" s="1"/>
      <c r="D871" s="118"/>
      <c r="E871" s="1"/>
      <c r="F871" s="120"/>
      <c r="G871" s="118"/>
      <c r="H871" s="120"/>
      <c r="I871" s="218"/>
    </row>
    <row r="872" spans="3:9" ht="14.25" customHeight="1" x14ac:dyDescent="0.3">
      <c r="C872" s="1"/>
      <c r="D872" s="118"/>
      <c r="E872" s="1"/>
      <c r="F872" s="120"/>
      <c r="G872" s="118"/>
      <c r="H872" s="120"/>
      <c r="I872" s="218"/>
    </row>
    <row r="873" spans="3:9" ht="14.25" customHeight="1" x14ac:dyDescent="0.3">
      <c r="C873" s="1"/>
      <c r="D873" s="118"/>
      <c r="E873" s="1"/>
      <c r="F873" s="120"/>
      <c r="G873" s="118"/>
      <c r="H873" s="120"/>
      <c r="I873" s="218"/>
    </row>
    <row r="874" spans="3:9" ht="14.25" customHeight="1" x14ac:dyDescent="0.3">
      <c r="C874" s="1"/>
      <c r="D874" s="118"/>
      <c r="E874" s="1"/>
      <c r="F874" s="120"/>
      <c r="G874" s="118"/>
      <c r="H874" s="120"/>
      <c r="I874" s="218"/>
    </row>
    <row r="875" spans="3:9" ht="14.25" customHeight="1" x14ac:dyDescent="0.3">
      <c r="C875" s="1"/>
      <c r="D875" s="118"/>
      <c r="E875" s="1"/>
      <c r="F875" s="120"/>
      <c r="G875" s="118"/>
      <c r="H875" s="120"/>
      <c r="I875" s="218"/>
    </row>
    <row r="876" spans="3:9" ht="14.25" customHeight="1" x14ac:dyDescent="0.3">
      <c r="C876" s="1"/>
      <c r="D876" s="118"/>
      <c r="E876" s="1"/>
      <c r="F876" s="120"/>
      <c r="G876" s="118"/>
      <c r="H876" s="120"/>
      <c r="I876" s="218"/>
    </row>
    <row r="877" spans="3:9" ht="14.25" customHeight="1" x14ac:dyDescent="0.3">
      <c r="C877" s="1"/>
      <c r="D877" s="118"/>
      <c r="E877" s="1"/>
      <c r="F877" s="120"/>
      <c r="G877" s="118"/>
      <c r="H877" s="120"/>
      <c r="I877" s="218"/>
    </row>
    <row r="878" spans="3:9" ht="14.25" customHeight="1" x14ac:dyDescent="0.3">
      <c r="C878" s="1"/>
      <c r="D878" s="118"/>
      <c r="E878" s="1"/>
      <c r="F878" s="120"/>
      <c r="G878" s="118"/>
      <c r="H878" s="120"/>
      <c r="I878" s="218"/>
    </row>
    <row r="879" spans="3:9" ht="14.25" customHeight="1" x14ac:dyDescent="0.3">
      <c r="C879" s="1"/>
      <c r="D879" s="118"/>
      <c r="E879" s="1"/>
      <c r="F879" s="120"/>
      <c r="G879" s="118"/>
      <c r="H879" s="120"/>
      <c r="I879" s="218"/>
    </row>
    <row r="880" spans="3:9" ht="14.25" customHeight="1" x14ac:dyDescent="0.3">
      <c r="C880" s="1"/>
      <c r="D880" s="118"/>
      <c r="E880" s="1"/>
      <c r="F880" s="120"/>
      <c r="G880" s="118"/>
      <c r="H880" s="120"/>
      <c r="I880" s="218"/>
    </row>
    <row r="881" spans="3:9" ht="14.25" customHeight="1" x14ac:dyDescent="0.3">
      <c r="C881" s="1"/>
      <c r="D881" s="118"/>
      <c r="E881" s="1"/>
      <c r="F881" s="120"/>
      <c r="G881" s="118"/>
      <c r="H881" s="120"/>
      <c r="I881" s="218"/>
    </row>
    <row r="882" spans="3:9" ht="14.25" customHeight="1" x14ac:dyDescent="0.3">
      <c r="C882" s="1"/>
      <c r="D882" s="118"/>
      <c r="E882" s="1"/>
      <c r="F882" s="120"/>
      <c r="G882" s="118"/>
      <c r="H882" s="120"/>
      <c r="I882" s="218"/>
    </row>
    <row r="883" spans="3:9" ht="14.25" customHeight="1" x14ac:dyDescent="0.3">
      <c r="C883" s="1"/>
      <c r="D883" s="118"/>
      <c r="E883" s="1"/>
      <c r="F883" s="120"/>
      <c r="G883" s="118"/>
      <c r="H883" s="120"/>
      <c r="I883" s="218"/>
    </row>
    <row r="884" spans="3:9" ht="14.25" customHeight="1" x14ac:dyDescent="0.3">
      <c r="C884" s="1"/>
      <c r="D884" s="118"/>
      <c r="E884" s="1"/>
      <c r="F884" s="120"/>
      <c r="G884" s="118"/>
      <c r="H884" s="120"/>
      <c r="I884" s="218"/>
    </row>
    <row r="885" spans="3:9" ht="14.25" customHeight="1" x14ac:dyDescent="0.3">
      <c r="C885" s="1"/>
      <c r="D885" s="118"/>
      <c r="E885" s="1"/>
      <c r="F885" s="120"/>
      <c r="G885" s="118"/>
      <c r="H885" s="120"/>
      <c r="I885" s="218"/>
    </row>
    <row r="886" spans="3:9" ht="14.25" customHeight="1" x14ac:dyDescent="0.3">
      <c r="C886" s="1"/>
      <c r="D886" s="118"/>
      <c r="E886" s="1"/>
      <c r="F886" s="120"/>
      <c r="G886" s="118"/>
      <c r="H886" s="120"/>
      <c r="I886" s="218"/>
    </row>
    <row r="887" spans="3:9" ht="14.25" customHeight="1" x14ac:dyDescent="0.3">
      <c r="C887" s="1"/>
      <c r="D887" s="118"/>
      <c r="E887" s="1"/>
      <c r="F887" s="120"/>
      <c r="G887" s="118"/>
      <c r="H887" s="120"/>
      <c r="I887" s="218"/>
    </row>
    <row r="888" spans="3:9" ht="14.25" customHeight="1" x14ac:dyDescent="0.3">
      <c r="C888" s="1"/>
      <c r="D888" s="118"/>
      <c r="E888" s="1"/>
      <c r="F888" s="120"/>
      <c r="G888" s="118"/>
      <c r="H888" s="120"/>
      <c r="I888" s="218"/>
    </row>
    <row r="889" spans="3:9" ht="14.25" customHeight="1" x14ac:dyDescent="0.3">
      <c r="C889" s="1"/>
      <c r="D889" s="118"/>
      <c r="E889" s="1"/>
      <c r="F889" s="120"/>
      <c r="G889" s="118"/>
      <c r="H889" s="120"/>
      <c r="I889" s="218"/>
    </row>
    <row r="890" spans="3:9" ht="14.25" customHeight="1" x14ac:dyDescent="0.3">
      <c r="C890" s="1"/>
      <c r="D890" s="118"/>
      <c r="E890" s="1"/>
      <c r="F890" s="120"/>
      <c r="G890" s="118"/>
      <c r="H890" s="120"/>
      <c r="I890" s="218"/>
    </row>
    <row r="891" spans="3:9" ht="14.25" customHeight="1" x14ac:dyDescent="0.3">
      <c r="C891" s="1"/>
      <c r="D891" s="118"/>
      <c r="E891" s="1"/>
      <c r="F891" s="120"/>
      <c r="G891" s="118"/>
      <c r="H891" s="120"/>
      <c r="I891" s="218"/>
    </row>
    <row r="892" spans="3:9" ht="14.25" customHeight="1" x14ac:dyDescent="0.3">
      <c r="C892" s="1"/>
      <c r="D892" s="118"/>
      <c r="E892" s="1"/>
      <c r="F892" s="120"/>
      <c r="G892" s="118"/>
      <c r="H892" s="120"/>
      <c r="I892" s="218"/>
    </row>
    <row r="893" spans="3:9" ht="14.25" customHeight="1" x14ac:dyDescent="0.3">
      <c r="C893" s="1"/>
      <c r="D893" s="118"/>
      <c r="E893" s="1"/>
      <c r="F893" s="120"/>
      <c r="G893" s="118"/>
      <c r="H893" s="120"/>
      <c r="I893" s="218"/>
    </row>
    <row r="894" spans="3:9" ht="14.25" customHeight="1" x14ac:dyDescent="0.3">
      <c r="C894" s="1"/>
      <c r="D894" s="118"/>
      <c r="E894" s="1"/>
      <c r="F894" s="120"/>
      <c r="G894" s="118"/>
      <c r="H894" s="120"/>
      <c r="I894" s="218"/>
    </row>
    <row r="895" spans="3:9" ht="14.25" customHeight="1" x14ac:dyDescent="0.3">
      <c r="C895" s="1"/>
      <c r="D895" s="118"/>
      <c r="E895" s="1"/>
      <c r="F895" s="120"/>
      <c r="G895" s="118"/>
      <c r="H895" s="120"/>
      <c r="I895" s="218"/>
    </row>
    <row r="896" spans="3:9" ht="14.25" customHeight="1" x14ac:dyDescent="0.3">
      <c r="C896" s="1"/>
      <c r="D896" s="118"/>
      <c r="E896" s="1"/>
      <c r="F896" s="120"/>
      <c r="G896" s="118"/>
      <c r="H896" s="120"/>
      <c r="I896" s="218"/>
    </row>
    <row r="897" spans="3:9" ht="14.25" customHeight="1" x14ac:dyDescent="0.3">
      <c r="C897" s="1"/>
      <c r="D897" s="118"/>
      <c r="E897" s="1"/>
      <c r="F897" s="120"/>
      <c r="G897" s="118"/>
      <c r="H897" s="120"/>
      <c r="I897" s="218"/>
    </row>
    <row r="898" spans="3:9" ht="14.25" customHeight="1" x14ac:dyDescent="0.3">
      <c r="C898" s="1"/>
      <c r="D898" s="118"/>
      <c r="E898" s="1"/>
      <c r="F898" s="120"/>
      <c r="G898" s="118"/>
      <c r="H898" s="120"/>
      <c r="I898" s="218"/>
    </row>
    <row r="899" spans="3:9" ht="14.25" customHeight="1" x14ac:dyDescent="0.3">
      <c r="C899" s="1"/>
      <c r="D899" s="118"/>
      <c r="E899" s="1"/>
      <c r="F899" s="120"/>
      <c r="G899" s="118"/>
      <c r="H899" s="120"/>
      <c r="I899" s="218"/>
    </row>
    <row r="900" spans="3:9" ht="14.25" customHeight="1" x14ac:dyDescent="0.3">
      <c r="C900" s="1"/>
      <c r="D900" s="118"/>
      <c r="E900" s="1"/>
      <c r="F900" s="120"/>
      <c r="G900" s="118"/>
      <c r="H900" s="120"/>
      <c r="I900" s="218"/>
    </row>
    <row r="901" spans="3:9" ht="14.25" customHeight="1" x14ac:dyDescent="0.3">
      <c r="C901" s="1"/>
      <c r="D901" s="118"/>
      <c r="E901" s="1"/>
      <c r="F901" s="120"/>
      <c r="G901" s="118"/>
      <c r="H901" s="120"/>
      <c r="I901" s="218"/>
    </row>
    <row r="902" spans="3:9" ht="14.25" customHeight="1" x14ac:dyDescent="0.3">
      <c r="C902" s="1"/>
      <c r="D902" s="118"/>
      <c r="E902" s="1"/>
      <c r="F902" s="120"/>
      <c r="G902" s="118"/>
      <c r="H902" s="120"/>
      <c r="I902" s="218"/>
    </row>
    <row r="903" spans="3:9" ht="14.25" customHeight="1" x14ac:dyDescent="0.3">
      <c r="C903" s="1"/>
      <c r="D903" s="118"/>
      <c r="E903" s="1"/>
      <c r="F903" s="120"/>
      <c r="G903" s="118"/>
      <c r="H903" s="120"/>
      <c r="I903" s="218"/>
    </row>
    <row r="904" spans="3:9" ht="14.25" customHeight="1" x14ac:dyDescent="0.3">
      <c r="C904" s="1"/>
      <c r="D904" s="118"/>
      <c r="E904" s="1"/>
      <c r="F904" s="120"/>
      <c r="G904" s="118"/>
      <c r="H904" s="120"/>
      <c r="I904" s="218"/>
    </row>
    <row r="905" spans="3:9" ht="14.25" customHeight="1" x14ac:dyDescent="0.3">
      <c r="C905" s="1"/>
      <c r="D905" s="118"/>
      <c r="E905" s="1"/>
      <c r="F905" s="120"/>
      <c r="G905" s="118"/>
      <c r="H905" s="120"/>
      <c r="I905" s="218"/>
    </row>
    <row r="906" spans="3:9" ht="14.25" customHeight="1" x14ac:dyDescent="0.3">
      <c r="C906" s="1"/>
      <c r="D906" s="118"/>
      <c r="E906" s="1"/>
      <c r="F906" s="120"/>
      <c r="G906" s="118"/>
      <c r="H906" s="120"/>
      <c r="I906" s="218"/>
    </row>
    <row r="907" spans="3:9" ht="14.25" customHeight="1" x14ac:dyDescent="0.3">
      <c r="C907" s="1"/>
      <c r="D907" s="118"/>
      <c r="E907" s="1"/>
      <c r="F907" s="120"/>
      <c r="G907" s="118"/>
      <c r="H907" s="120"/>
      <c r="I907" s="218"/>
    </row>
    <row r="908" spans="3:9" ht="14.25" customHeight="1" x14ac:dyDescent="0.3">
      <c r="C908" s="1"/>
      <c r="D908" s="118"/>
      <c r="E908" s="1"/>
      <c r="F908" s="120"/>
      <c r="G908" s="118"/>
      <c r="H908" s="120"/>
      <c r="I908" s="218"/>
    </row>
    <row r="909" spans="3:9" ht="14.25" customHeight="1" x14ac:dyDescent="0.3">
      <c r="C909" s="1"/>
      <c r="D909" s="118"/>
      <c r="E909" s="1"/>
      <c r="F909" s="120"/>
      <c r="G909" s="118"/>
      <c r="H909" s="120"/>
      <c r="I909" s="218"/>
    </row>
    <row r="910" spans="3:9" ht="14.25" customHeight="1" x14ac:dyDescent="0.3">
      <c r="C910" s="1"/>
      <c r="D910" s="118"/>
      <c r="E910" s="1"/>
      <c r="F910" s="120"/>
      <c r="G910" s="118"/>
      <c r="H910" s="120"/>
      <c r="I910" s="218"/>
    </row>
    <row r="911" spans="3:9" ht="14.25" customHeight="1" x14ac:dyDescent="0.3">
      <c r="C911" s="1"/>
      <c r="D911" s="118"/>
      <c r="E911" s="1"/>
      <c r="F911" s="120"/>
      <c r="G911" s="118"/>
      <c r="H911" s="120"/>
      <c r="I911" s="218"/>
    </row>
    <row r="912" spans="3:9" ht="14.25" customHeight="1" x14ac:dyDescent="0.3">
      <c r="C912" s="1"/>
      <c r="D912" s="118"/>
      <c r="E912" s="1"/>
      <c r="F912" s="120"/>
      <c r="G912" s="118"/>
      <c r="H912" s="120"/>
      <c r="I912" s="218"/>
    </row>
    <row r="913" spans="3:9" ht="14.25" customHeight="1" x14ac:dyDescent="0.3">
      <c r="C913" s="1"/>
      <c r="D913" s="118"/>
      <c r="E913" s="1"/>
      <c r="F913" s="120"/>
      <c r="G913" s="118"/>
      <c r="H913" s="120"/>
      <c r="I913" s="218"/>
    </row>
    <row r="914" spans="3:9" ht="14.25" customHeight="1" x14ac:dyDescent="0.3">
      <c r="C914" s="1"/>
      <c r="D914" s="118"/>
      <c r="E914" s="1"/>
      <c r="F914" s="120"/>
      <c r="G914" s="118"/>
      <c r="H914" s="120"/>
      <c r="I914" s="218"/>
    </row>
    <row r="915" spans="3:9" ht="14.25" customHeight="1" x14ac:dyDescent="0.3">
      <c r="C915" s="1"/>
      <c r="D915" s="118"/>
      <c r="E915" s="1"/>
      <c r="F915" s="120"/>
      <c r="G915" s="118"/>
      <c r="H915" s="120"/>
      <c r="I915" s="218"/>
    </row>
    <row r="916" spans="3:9" ht="14.25" customHeight="1" x14ac:dyDescent="0.3">
      <c r="C916" s="1"/>
      <c r="D916" s="118"/>
      <c r="E916" s="1"/>
      <c r="F916" s="120"/>
      <c r="G916" s="118"/>
      <c r="H916" s="120"/>
      <c r="I916" s="218"/>
    </row>
    <row r="917" spans="3:9" ht="14.25" customHeight="1" x14ac:dyDescent="0.3">
      <c r="C917" s="1"/>
      <c r="D917" s="118"/>
      <c r="E917" s="1"/>
      <c r="F917" s="120"/>
      <c r="G917" s="118"/>
      <c r="H917" s="120"/>
      <c r="I917" s="218"/>
    </row>
    <row r="918" spans="3:9" ht="14.25" customHeight="1" x14ac:dyDescent="0.3">
      <c r="C918" s="1"/>
      <c r="D918" s="118"/>
      <c r="E918" s="1"/>
      <c r="F918" s="120"/>
      <c r="G918" s="118"/>
      <c r="H918" s="120"/>
      <c r="I918" s="218"/>
    </row>
    <row r="919" spans="3:9" ht="14.25" customHeight="1" x14ac:dyDescent="0.3">
      <c r="C919" s="1"/>
      <c r="D919" s="118"/>
      <c r="E919" s="1"/>
      <c r="F919" s="120"/>
      <c r="G919" s="118"/>
      <c r="H919" s="120"/>
      <c r="I919" s="218"/>
    </row>
    <row r="920" spans="3:9" ht="14.25" customHeight="1" x14ac:dyDescent="0.3">
      <c r="C920" s="1"/>
      <c r="D920" s="118"/>
      <c r="E920" s="1"/>
      <c r="F920" s="120"/>
      <c r="G920" s="118"/>
      <c r="H920" s="120"/>
      <c r="I920" s="218"/>
    </row>
    <row r="921" spans="3:9" ht="14.25" customHeight="1" x14ac:dyDescent="0.3">
      <c r="C921" s="1"/>
      <c r="D921" s="118"/>
      <c r="E921" s="1"/>
      <c r="F921" s="120"/>
      <c r="G921" s="118"/>
      <c r="H921" s="120"/>
      <c r="I921" s="218"/>
    </row>
    <row r="922" spans="3:9" ht="14.25" customHeight="1" x14ac:dyDescent="0.3">
      <c r="C922" s="1"/>
      <c r="D922" s="118"/>
      <c r="E922" s="1"/>
      <c r="F922" s="120"/>
      <c r="G922" s="118"/>
      <c r="H922" s="120"/>
      <c r="I922" s="218"/>
    </row>
    <row r="923" spans="3:9" ht="14.25" customHeight="1" x14ac:dyDescent="0.3">
      <c r="C923" s="1"/>
      <c r="D923" s="118"/>
      <c r="E923" s="1"/>
      <c r="F923" s="120"/>
      <c r="G923" s="118"/>
      <c r="H923" s="120"/>
      <c r="I923" s="218"/>
    </row>
    <row r="924" spans="3:9" ht="14.25" customHeight="1" x14ac:dyDescent="0.3">
      <c r="C924" s="1"/>
      <c r="D924" s="118"/>
      <c r="E924" s="1"/>
      <c r="F924" s="120"/>
      <c r="G924" s="118"/>
      <c r="H924" s="120"/>
      <c r="I924" s="218"/>
    </row>
    <row r="925" spans="3:9" ht="14.25" customHeight="1" x14ac:dyDescent="0.3">
      <c r="C925" s="1"/>
      <c r="D925" s="118"/>
      <c r="E925" s="1"/>
      <c r="F925" s="120"/>
      <c r="G925" s="118"/>
      <c r="H925" s="120"/>
      <c r="I925" s="218"/>
    </row>
    <row r="926" spans="3:9" ht="14.25" customHeight="1" x14ac:dyDescent="0.3">
      <c r="C926" s="1"/>
      <c r="D926" s="118"/>
      <c r="E926" s="1"/>
      <c r="F926" s="120"/>
      <c r="G926" s="118"/>
      <c r="H926" s="120"/>
      <c r="I926" s="218"/>
    </row>
    <row r="927" spans="3:9" ht="14.25" customHeight="1" x14ac:dyDescent="0.3">
      <c r="C927" s="1"/>
      <c r="D927" s="118"/>
      <c r="E927" s="1"/>
      <c r="F927" s="120"/>
      <c r="G927" s="118"/>
      <c r="H927" s="120"/>
      <c r="I927" s="218"/>
    </row>
    <row r="928" spans="3:9" ht="14.25" customHeight="1" x14ac:dyDescent="0.3">
      <c r="C928" s="1"/>
      <c r="D928" s="118"/>
      <c r="E928" s="1"/>
      <c r="F928" s="120"/>
      <c r="G928" s="118"/>
      <c r="H928" s="120"/>
      <c r="I928" s="218"/>
    </row>
    <row r="929" spans="3:9" ht="14.25" customHeight="1" x14ac:dyDescent="0.3">
      <c r="C929" s="1"/>
      <c r="D929" s="118"/>
      <c r="E929" s="1"/>
      <c r="F929" s="120"/>
      <c r="G929" s="118"/>
      <c r="H929" s="120"/>
      <c r="I929" s="218"/>
    </row>
    <row r="930" spans="3:9" ht="14.25" customHeight="1" x14ac:dyDescent="0.3">
      <c r="C930" s="1"/>
      <c r="D930" s="118"/>
      <c r="E930" s="1"/>
      <c r="F930" s="120"/>
      <c r="G930" s="118"/>
      <c r="H930" s="120"/>
      <c r="I930" s="218"/>
    </row>
    <row r="931" spans="3:9" ht="14.25" customHeight="1" x14ac:dyDescent="0.3">
      <c r="C931" s="1"/>
      <c r="D931" s="118"/>
      <c r="E931" s="1"/>
      <c r="F931" s="120"/>
      <c r="G931" s="118"/>
      <c r="H931" s="120"/>
      <c r="I931" s="218"/>
    </row>
    <row r="932" spans="3:9" ht="14.25" customHeight="1" x14ac:dyDescent="0.3">
      <c r="C932" s="1"/>
      <c r="D932" s="118"/>
      <c r="E932" s="1"/>
      <c r="F932" s="120"/>
      <c r="G932" s="118"/>
      <c r="H932" s="120"/>
      <c r="I932" s="218"/>
    </row>
    <row r="933" spans="3:9" ht="14.25" customHeight="1" x14ac:dyDescent="0.3">
      <c r="C933" s="1"/>
      <c r="D933" s="118"/>
      <c r="E933" s="1"/>
      <c r="F933" s="120"/>
      <c r="G933" s="118"/>
      <c r="H933" s="120"/>
      <c r="I933" s="218"/>
    </row>
    <row r="934" spans="3:9" ht="14.25" customHeight="1" x14ac:dyDescent="0.3">
      <c r="C934" s="1"/>
      <c r="D934" s="118"/>
      <c r="E934" s="1"/>
      <c r="F934" s="120"/>
      <c r="G934" s="118"/>
      <c r="H934" s="120"/>
      <c r="I934" s="218"/>
    </row>
    <row r="935" spans="3:9" ht="14.25" customHeight="1" x14ac:dyDescent="0.3">
      <c r="C935" s="1"/>
      <c r="D935" s="118"/>
      <c r="E935" s="1"/>
      <c r="F935" s="120"/>
      <c r="G935" s="118"/>
      <c r="H935" s="120"/>
      <c r="I935" s="218"/>
    </row>
    <row r="936" spans="3:9" ht="14.25" customHeight="1" x14ac:dyDescent="0.3">
      <c r="C936" s="1"/>
      <c r="D936" s="118"/>
      <c r="E936" s="1"/>
      <c r="F936" s="120"/>
      <c r="G936" s="118"/>
      <c r="H936" s="120"/>
      <c r="I936" s="218"/>
    </row>
    <row r="937" spans="3:9" ht="14.25" customHeight="1" x14ac:dyDescent="0.3">
      <c r="C937" s="1"/>
      <c r="D937" s="118"/>
      <c r="E937" s="1"/>
      <c r="F937" s="120"/>
      <c r="G937" s="118"/>
      <c r="H937" s="120"/>
      <c r="I937" s="218"/>
    </row>
    <row r="938" spans="3:9" ht="14.25" customHeight="1" x14ac:dyDescent="0.3">
      <c r="C938" s="1"/>
      <c r="D938" s="118"/>
      <c r="E938" s="1"/>
      <c r="F938" s="120"/>
      <c r="G938" s="118"/>
      <c r="H938" s="120"/>
      <c r="I938" s="218"/>
    </row>
    <row r="939" spans="3:9" ht="14.25" customHeight="1" x14ac:dyDescent="0.3">
      <c r="C939" s="1"/>
      <c r="D939" s="118"/>
      <c r="E939" s="1"/>
      <c r="F939" s="120"/>
      <c r="G939" s="118"/>
      <c r="H939" s="120"/>
      <c r="I939" s="218"/>
    </row>
    <row r="940" spans="3:9" ht="14.25" customHeight="1" x14ac:dyDescent="0.3">
      <c r="C940" s="1"/>
      <c r="D940" s="118"/>
      <c r="E940" s="1"/>
      <c r="F940" s="120"/>
      <c r="G940" s="118"/>
      <c r="H940" s="120"/>
      <c r="I940" s="218"/>
    </row>
    <row r="941" spans="3:9" ht="14.25" customHeight="1" x14ac:dyDescent="0.3">
      <c r="C941" s="1"/>
      <c r="D941" s="118"/>
      <c r="E941" s="1"/>
      <c r="F941" s="120"/>
      <c r="G941" s="118"/>
      <c r="H941" s="120"/>
      <c r="I941" s="218"/>
    </row>
    <row r="942" spans="3:9" ht="14.25" customHeight="1" x14ac:dyDescent="0.3">
      <c r="C942" s="1"/>
      <c r="D942" s="118"/>
      <c r="E942" s="1"/>
      <c r="F942" s="120"/>
      <c r="G942" s="118"/>
      <c r="H942" s="120"/>
      <c r="I942" s="218"/>
    </row>
    <row r="943" spans="3:9" ht="14.25" customHeight="1" x14ac:dyDescent="0.3">
      <c r="C943" s="1"/>
      <c r="D943" s="118"/>
      <c r="E943" s="1"/>
      <c r="F943" s="120"/>
      <c r="G943" s="118"/>
      <c r="H943" s="120"/>
      <c r="I943" s="218"/>
    </row>
    <row r="944" spans="3:9" ht="14.25" customHeight="1" x14ac:dyDescent="0.3">
      <c r="C944" s="1"/>
      <c r="D944" s="118"/>
      <c r="E944" s="1"/>
      <c r="F944" s="120"/>
      <c r="G944" s="118"/>
      <c r="H944" s="120"/>
      <c r="I944" s="218"/>
    </row>
    <row r="945" spans="3:9" ht="14.25" customHeight="1" x14ac:dyDescent="0.3">
      <c r="C945" s="1"/>
      <c r="D945" s="118"/>
      <c r="E945" s="1"/>
      <c r="F945" s="120"/>
      <c r="G945" s="118"/>
      <c r="H945" s="120"/>
      <c r="I945" s="218"/>
    </row>
    <row r="946" spans="3:9" ht="14.25" customHeight="1" x14ac:dyDescent="0.3">
      <c r="C946" s="1"/>
      <c r="D946" s="118"/>
      <c r="E946" s="1"/>
      <c r="F946" s="120"/>
      <c r="G946" s="118"/>
      <c r="H946" s="120"/>
      <c r="I946" s="218"/>
    </row>
    <row r="947" spans="3:9" ht="14.25" customHeight="1" x14ac:dyDescent="0.3">
      <c r="C947" s="1"/>
      <c r="D947" s="118"/>
      <c r="E947" s="1"/>
      <c r="F947" s="120"/>
      <c r="G947" s="118"/>
      <c r="H947" s="120"/>
      <c r="I947" s="218"/>
    </row>
    <row r="948" spans="3:9" ht="14.25" customHeight="1" x14ac:dyDescent="0.3">
      <c r="C948" s="1"/>
      <c r="D948" s="118"/>
      <c r="E948" s="1"/>
      <c r="F948" s="120"/>
      <c r="G948" s="118"/>
      <c r="H948" s="120"/>
      <c r="I948" s="218"/>
    </row>
    <row r="949" spans="3:9" ht="14.25" customHeight="1" x14ac:dyDescent="0.3">
      <c r="C949" s="1"/>
      <c r="D949" s="118"/>
      <c r="E949" s="1"/>
      <c r="F949" s="120"/>
      <c r="G949" s="118"/>
      <c r="H949" s="120"/>
      <c r="I949" s="218"/>
    </row>
    <row r="950" spans="3:9" ht="14.25" customHeight="1" x14ac:dyDescent="0.3">
      <c r="C950" s="1"/>
      <c r="D950" s="118"/>
      <c r="E950" s="1"/>
      <c r="F950" s="120"/>
      <c r="G950" s="118"/>
      <c r="H950" s="120"/>
      <c r="I950" s="218"/>
    </row>
    <row r="951" spans="3:9" ht="14.25" customHeight="1" x14ac:dyDescent="0.3">
      <c r="C951" s="1"/>
      <c r="D951" s="118"/>
      <c r="E951" s="1"/>
      <c r="F951" s="120"/>
      <c r="G951" s="118"/>
      <c r="H951" s="120"/>
      <c r="I951" s="218"/>
    </row>
    <row r="952" spans="3:9" ht="14.25" customHeight="1" x14ac:dyDescent="0.3">
      <c r="C952" s="1"/>
      <c r="D952" s="118"/>
      <c r="E952" s="1"/>
      <c r="F952" s="120"/>
      <c r="G952" s="118"/>
      <c r="H952" s="120"/>
      <c r="I952" s="218"/>
    </row>
    <row r="953" spans="3:9" ht="14.25" customHeight="1" x14ac:dyDescent="0.3">
      <c r="C953" s="1"/>
      <c r="D953" s="118"/>
      <c r="E953" s="1"/>
      <c r="F953" s="120"/>
      <c r="G953" s="118"/>
      <c r="H953" s="120"/>
      <c r="I953" s="218"/>
    </row>
    <row r="954" spans="3:9" ht="14.25" customHeight="1" x14ac:dyDescent="0.3">
      <c r="C954" s="1"/>
      <c r="D954" s="118"/>
      <c r="E954" s="1"/>
      <c r="F954" s="120"/>
      <c r="G954" s="118"/>
      <c r="H954" s="120"/>
      <c r="I954" s="218"/>
    </row>
    <row r="955" spans="3:9" ht="14.25" customHeight="1" x14ac:dyDescent="0.3">
      <c r="C955" s="1"/>
      <c r="D955" s="118"/>
      <c r="E955" s="1"/>
      <c r="F955" s="120"/>
      <c r="G955" s="118"/>
      <c r="H955" s="120"/>
      <c r="I955" s="218"/>
    </row>
    <row r="956" spans="3:9" ht="14.25" customHeight="1" x14ac:dyDescent="0.3">
      <c r="C956" s="1"/>
      <c r="D956" s="118"/>
      <c r="E956" s="1"/>
      <c r="F956" s="120"/>
      <c r="G956" s="118"/>
      <c r="H956" s="120"/>
      <c r="I956" s="218"/>
    </row>
    <row r="957" spans="3:9" ht="14.25" customHeight="1" x14ac:dyDescent="0.3">
      <c r="C957" s="1"/>
      <c r="D957" s="118"/>
      <c r="E957" s="1"/>
      <c r="F957" s="120"/>
      <c r="G957" s="118"/>
      <c r="H957" s="120"/>
      <c r="I957" s="218"/>
    </row>
    <row r="958" spans="3:9" ht="14.25" customHeight="1" x14ac:dyDescent="0.3">
      <c r="C958" s="1"/>
      <c r="D958" s="118"/>
      <c r="E958" s="1"/>
      <c r="F958" s="120"/>
      <c r="G958" s="118"/>
      <c r="H958" s="120"/>
      <c r="I958" s="218"/>
    </row>
    <row r="959" spans="3:9" ht="14.25" customHeight="1" x14ac:dyDescent="0.3">
      <c r="C959" s="1"/>
      <c r="D959" s="118"/>
      <c r="E959" s="1"/>
      <c r="F959" s="120"/>
      <c r="G959" s="118"/>
      <c r="H959" s="120"/>
      <c r="I959" s="218"/>
    </row>
    <row r="960" spans="3:9" ht="14.25" customHeight="1" x14ac:dyDescent="0.3">
      <c r="C960" s="1"/>
      <c r="D960" s="118"/>
      <c r="E960" s="1"/>
      <c r="F960" s="120"/>
      <c r="G960" s="118"/>
      <c r="H960" s="120"/>
      <c r="I960" s="218"/>
    </row>
    <row r="961" spans="3:9" ht="14.25" customHeight="1" x14ac:dyDescent="0.3">
      <c r="C961" s="1"/>
      <c r="D961" s="118"/>
      <c r="E961" s="1"/>
      <c r="F961" s="120"/>
      <c r="G961" s="118"/>
      <c r="H961" s="120"/>
      <c r="I961" s="218"/>
    </row>
    <row r="962" spans="3:9" ht="14.25" customHeight="1" x14ac:dyDescent="0.3">
      <c r="C962" s="1"/>
      <c r="D962" s="118"/>
      <c r="E962" s="1"/>
      <c r="F962" s="120"/>
      <c r="G962" s="118"/>
      <c r="H962" s="120"/>
      <c r="I962" s="218"/>
    </row>
    <row r="963" spans="3:9" ht="14.25" customHeight="1" x14ac:dyDescent="0.3">
      <c r="C963" s="1"/>
      <c r="D963" s="118"/>
      <c r="E963" s="1"/>
      <c r="F963" s="120"/>
      <c r="G963" s="118"/>
      <c r="H963" s="120"/>
      <c r="I963" s="218"/>
    </row>
    <row r="964" spans="3:9" ht="14.25" customHeight="1" x14ac:dyDescent="0.3">
      <c r="C964" s="1"/>
      <c r="D964" s="118"/>
      <c r="E964" s="1"/>
      <c r="F964" s="120"/>
      <c r="G964" s="118"/>
      <c r="H964" s="120"/>
      <c r="I964" s="218"/>
    </row>
    <row r="965" spans="3:9" ht="14.25" customHeight="1" x14ac:dyDescent="0.3">
      <c r="C965" s="1"/>
      <c r="D965" s="118"/>
      <c r="E965" s="1"/>
      <c r="F965" s="120"/>
      <c r="G965" s="118"/>
      <c r="H965" s="120"/>
      <c r="I965" s="218"/>
    </row>
    <row r="966" spans="3:9" ht="14.25" customHeight="1" x14ac:dyDescent="0.3">
      <c r="C966" s="1"/>
      <c r="D966" s="118"/>
      <c r="E966" s="1"/>
      <c r="F966" s="120"/>
      <c r="G966" s="118"/>
      <c r="H966" s="120"/>
      <c r="I966" s="218"/>
    </row>
    <row r="967" spans="3:9" ht="14.25" customHeight="1" x14ac:dyDescent="0.3">
      <c r="C967" s="1"/>
      <c r="D967" s="118"/>
      <c r="E967" s="1"/>
      <c r="F967" s="120"/>
      <c r="G967" s="118"/>
      <c r="H967" s="120"/>
      <c r="I967" s="218"/>
    </row>
    <row r="968" spans="3:9" ht="14.25" customHeight="1" x14ac:dyDescent="0.3">
      <c r="C968" s="1"/>
      <c r="D968" s="118"/>
      <c r="E968" s="1"/>
      <c r="F968" s="120"/>
      <c r="G968" s="118"/>
      <c r="H968" s="120"/>
      <c r="I968" s="218"/>
    </row>
    <row r="969" spans="3:9" ht="14.25" customHeight="1" x14ac:dyDescent="0.3">
      <c r="C969" s="1"/>
      <c r="D969" s="118"/>
      <c r="E969" s="1"/>
      <c r="F969" s="120"/>
      <c r="G969" s="118"/>
      <c r="H969" s="120"/>
      <c r="I969" s="218"/>
    </row>
    <row r="970" spans="3:9" ht="14.25" customHeight="1" x14ac:dyDescent="0.3">
      <c r="C970" s="1"/>
      <c r="D970" s="118"/>
      <c r="E970" s="1"/>
      <c r="F970" s="120"/>
      <c r="G970" s="118"/>
      <c r="H970" s="120"/>
      <c r="I970" s="218"/>
    </row>
    <row r="971" spans="3:9" ht="14.25" customHeight="1" x14ac:dyDescent="0.3">
      <c r="C971" s="1"/>
      <c r="D971" s="118"/>
      <c r="E971" s="1"/>
      <c r="F971" s="120"/>
      <c r="G971" s="118"/>
      <c r="H971" s="120"/>
      <c r="I971" s="218"/>
    </row>
    <row r="972" spans="3:9" ht="14.25" customHeight="1" x14ac:dyDescent="0.3">
      <c r="C972" s="1"/>
      <c r="D972" s="118"/>
      <c r="E972" s="1"/>
      <c r="F972" s="120"/>
      <c r="G972" s="118"/>
      <c r="H972" s="120"/>
      <c r="I972" s="218"/>
    </row>
    <row r="973" spans="3:9" ht="14.25" customHeight="1" x14ac:dyDescent="0.3">
      <c r="C973" s="1"/>
      <c r="D973" s="118"/>
      <c r="E973" s="1"/>
      <c r="F973" s="120"/>
      <c r="G973" s="118"/>
      <c r="H973" s="120"/>
      <c r="I973" s="218"/>
    </row>
    <row r="974" spans="3:9" ht="14.25" customHeight="1" x14ac:dyDescent="0.3">
      <c r="C974" s="1"/>
      <c r="D974" s="118"/>
      <c r="E974" s="1"/>
      <c r="F974" s="120"/>
      <c r="G974" s="118"/>
      <c r="H974" s="120"/>
      <c r="I974" s="218"/>
    </row>
    <row r="975" spans="3:9" ht="14.25" customHeight="1" x14ac:dyDescent="0.3">
      <c r="C975" s="1"/>
      <c r="D975" s="118"/>
      <c r="E975" s="1"/>
      <c r="F975" s="120"/>
      <c r="G975" s="118"/>
      <c r="H975" s="120"/>
      <c r="I975" s="218"/>
    </row>
    <row r="976" spans="3:9" ht="14.25" customHeight="1" x14ac:dyDescent="0.3">
      <c r="C976" s="1"/>
      <c r="D976" s="118"/>
      <c r="E976" s="1"/>
      <c r="F976" s="120"/>
      <c r="G976" s="118"/>
      <c r="H976" s="120"/>
      <c r="I976" s="218"/>
    </row>
    <row r="977" spans="3:9" ht="14.25" customHeight="1" x14ac:dyDescent="0.3">
      <c r="C977" s="1"/>
      <c r="D977" s="118"/>
      <c r="E977" s="1"/>
      <c r="F977" s="120"/>
      <c r="G977" s="118"/>
      <c r="H977" s="120"/>
      <c r="I977" s="218"/>
    </row>
    <row r="978" spans="3:9" ht="14.25" customHeight="1" x14ac:dyDescent="0.3">
      <c r="C978" s="1"/>
      <c r="D978" s="118"/>
      <c r="E978" s="1"/>
      <c r="F978" s="120"/>
      <c r="G978" s="118"/>
      <c r="H978" s="120"/>
      <c r="I978" s="218"/>
    </row>
    <row r="979" spans="3:9" ht="14.25" customHeight="1" x14ac:dyDescent="0.3">
      <c r="C979" s="1"/>
      <c r="D979" s="118"/>
      <c r="E979" s="1"/>
      <c r="F979" s="120"/>
      <c r="G979" s="118"/>
      <c r="H979" s="120"/>
      <c r="I979" s="218"/>
    </row>
    <row r="980" spans="3:9" ht="14.25" customHeight="1" x14ac:dyDescent="0.3">
      <c r="C980" s="1"/>
      <c r="D980" s="118"/>
      <c r="E980" s="1"/>
      <c r="F980" s="120"/>
      <c r="G980" s="118"/>
      <c r="H980" s="120"/>
      <c r="I980" s="218"/>
    </row>
    <row r="981" spans="3:9" ht="14.25" customHeight="1" x14ac:dyDescent="0.3">
      <c r="C981" s="1"/>
      <c r="D981" s="118"/>
      <c r="E981" s="1"/>
      <c r="F981" s="120"/>
      <c r="G981" s="118"/>
      <c r="H981" s="120"/>
      <c r="I981" s="218"/>
    </row>
    <row r="982" spans="3:9" ht="14.25" customHeight="1" x14ac:dyDescent="0.3">
      <c r="C982" s="1"/>
      <c r="D982" s="118"/>
      <c r="E982" s="1"/>
      <c r="F982" s="120"/>
      <c r="G982" s="118"/>
      <c r="H982" s="120"/>
      <c r="I982" s="218"/>
    </row>
    <row r="983" spans="3:9" ht="14.25" customHeight="1" x14ac:dyDescent="0.3">
      <c r="C983" s="1"/>
      <c r="D983" s="118"/>
      <c r="E983" s="1"/>
      <c r="F983" s="120"/>
      <c r="G983" s="118"/>
      <c r="H983" s="120"/>
      <c r="I983" s="218"/>
    </row>
    <row r="984" spans="3:9" ht="14.25" customHeight="1" x14ac:dyDescent="0.3">
      <c r="C984" s="1"/>
      <c r="D984" s="118"/>
      <c r="E984" s="1"/>
      <c r="F984" s="120"/>
      <c r="G984" s="118"/>
      <c r="H984" s="120"/>
      <c r="I984" s="218"/>
    </row>
    <row r="985" spans="3:9" ht="14.25" customHeight="1" x14ac:dyDescent="0.3">
      <c r="C985" s="1"/>
      <c r="D985" s="118"/>
      <c r="E985" s="1"/>
      <c r="F985" s="120"/>
      <c r="G985" s="118"/>
      <c r="H985" s="120"/>
      <c r="I985" s="218"/>
    </row>
    <row r="986" spans="3:9" ht="14.25" customHeight="1" x14ac:dyDescent="0.3">
      <c r="C986" s="1"/>
      <c r="D986" s="118"/>
      <c r="E986" s="1"/>
      <c r="F986" s="120"/>
      <c r="G986" s="118"/>
      <c r="H986" s="120"/>
      <c r="I986" s="218"/>
    </row>
    <row r="987" spans="3:9" ht="14.25" customHeight="1" x14ac:dyDescent="0.3">
      <c r="C987" s="1"/>
      <c r="D987" s="118"/>
      <c r="E987" s="1"/>
      <c r="F987" s="120"/>
      <c r="G987" s="118"/>
      <c r="H987" s="120"/>
      <c r="I987" s="218"/>
    </row>
    <row r="988" spans="3:9" ht="14.25" customHeight="1" x14ac:dyDescent="0.3">
      <c r="C988" s="1"/>
      <c r="D988" s="118"/>
      <c r="E988" s="1"/>
      <c r="F988" s="120"/>
      <c r="G988" s="118"/>
      <c r="H988" s="120"/>
      <c r="I988" s="218"/>
    </row>
    <row r="989" spans="3:9" ht="14.25" customHeight="1" x14ac:dyDescent="0.3">
      <c r="C989" s="1"/>
      <c r="D989" s="118"/>
      <c r="E989" s="1"/>
      <c r="F989" s="120"/>
      <c r="G989" s="118"/>
      <c r="H989" s="120"/>
      <c r="I989" s="218"/>
    </row>
    <row r="990" spans="3:9" ht="14.25" customHeight="1" x14ac:dyDescent="0.3">
      <c r="C990" s="1"/>
      <c r="D990" s="118"/>
      <c r="E990" s="1"/>
      <c r="F990" s="120"/>
      <c r="G990" s="118"/>
      <c r="H990" s="120"/>
      <c r="I990" s="218"/>
    </row>
    <row r="991" spans="3:9" ht="14.25" customHeight="1" x14ac:dyDescent="0.3">
      <c r="C991" s="1"/>
      <c r="D991" s="118"/>
      <c r="E991" s="1"/>
      <c r="F991" s="120"/>
      <c r="G991" s="118"/>
      <c r="H991" s="120"/>
      <c r="I991" s="218"/>
    </row>
    <row r="992" spans="3:9" ht="14.25" customHeight="1" x14ac:dyDescent="0.3">
      <c r="C992" s="1"/>
      <c r="D992" s="118"/>
      <c r="E992" s="1"/>
      <c r="F992" s="120"/>
      <c r="G992" s="118"/>
      <c r="H992" s="120"/>
      <c r="I992" s="218"/>
    </row>
    <row r="993" spans="3:9" ht="14.25" customHeight="1" x14ac:dyDescent="0.3">
      <c r="C993" s="1"/>
      <c r="D993" s="118"/>
      <c r="E993" s="1"/>
      <c r="F993" s="120"/>
      <c r="G993" s="118"/>
      <c r="H993" s="120"/>
      <c r="I993" s="218"/>
    </row>
    <row r="994" spans="3:9" ht="14.25" customHeight="1" x14ac:dyDescent="0.3">
      <c r="C994" s="1"/>
      <c r="D994" s="118"/>
      <c r="E994" s="1"/>
      <c r="F994" s="120"/>
      <c r="G994" s="118"/>
      <c r="H994" s="120"/>
      <c r="I994" s="218"/>
    </row>
    <row r="995" spans="3:9" ht="14.25" customHeight="1" x14ac:dyDescent="0.3">
      <c r="C995" s="1"/>
      <c r="D995" s="118"/>
      <c r="E995" s="1"/>
      <c r="F995" s="120"/>
      <c r="G995" s="118"/>
      <c r="H995" s="120"/>
      <c r="I995" s="218"/>
    </row>
    <row r="996" spans="3:9" ht="14.25" customHeight="1" x14ac:dyDescent="0.3">
      <c r="C996" s="1"/>
      <c r="D996" s="118"/>
      <c r="E996" s="1"/>
      <c r="F996" s="120"/>
      <c r="G996" s="118"/>
      <c r="H996" s="120"/>
      <c r="I996" s="218"/>
    </row>
    <row r="997" spans="3:9" ht="14.25" customHeight="1" x14ac:dyDescent="0.3">
      <c r="C997" s="1"/>
      <c r="D997" s="118"/>
      <c r="E997" s="1"/>
      <c r="F997" s="120"/>
      <c r="G997" s="118"/>
      <c r="H997" s="120"/>
      <c r="I997" s="218"/>
    </row>
    <row r="998" spans="3:9" ht="14.25" customHeight="1" x14ac:dyDescent="0.3">
      <c r="C998" s="1"/>
      <c r="D998" s="118"/>
      <c r="E998" s="1"/>
      <c r="F998" s="120"/>
      <c r="G998" s="118"/>
      <c r="H998" s="120"/>
      <c r="I998" s="218"/>
    </row>
    <row r="999" spans="3:9" ht="14.25" customHeight="1" x14ac:dyDescent="0.3">
      <c r="C999" s="1"/>
      <c r="D999" s="118"/>
      <c r="E999" s="1"/>
      <c r="F999" s="120"/>
      <c r="G999" s="118"/>
      <c r="H999" s="120"/>
      <c r="I999" s="218"/>
    </row>
    <row r="1000" spans="3:9" ht="14.25" customHeight="1" x14ac:dyDescent="0.3">
      <c r="C1000" s="1"/>
      <c r="D1000" s="118"/>
      <c r="E1000" s="1"/>
      <c r="F1000" s="120"/>
      <c r="G1000" s="118"/>
      <c r="H1000" s="120"/>
      <c r="I1000" s="218"/>
    </row>
    <row r="1001" spans="3:9" ht="14.25" customHeight="1" x14ac:dyDescent="0.3">
      <c r="C1001" s="1"/>
      <c r="D1001" s="118"/>
      <c r="E1001" s="1"/>
      <c r="F1001" s="120"/>
      <c r="G1001" s="118"/>
      <c r="H1001" s="120"/>
      <c r="I1001" s="218"/>
    </row>
    <row r="1002" spans="3:9" ht="14.25" customHeight="1" x14ac:dyDescent="0.3">
      <c r="C1002" s="1"/>
      <c r="D1002" s="118"/>
      <c r="E1002" s="1"/>
      <c r="F1002" s="120"/>
      <c r="G1002" s="118"/>
      <c r="H1002" s="120"/>
      <c r="I1002" s="218"/>
    </row>
    <row r="1003" spans="3:9" ht="14.25" customHeight="1" x14ac:dyDescent="0.3">
      <c r="C1003" s="1"/>
      <c r="D1003" s="118"/>
      <c r="E1003" s="1"/>
      <c r="F1003" s="120"/>
      <c r="G1003" s="118"/>
      <c r="H1003" s="120"/>
      <c r="I1003" s="218"/>
    </row>
    <row r="1004" spans="3:9" ht="14.25" customHeight="1" x14ac:dyDescent="0.3">
      <c r="C1004" s="1"/>
      <c r="D1004" s="118"/>
      <c r="E1004" s="1"/>
      <c r="F1004" s="120"/>
      <c r="G1004" s="118"/>
      <c r="H1004" s="120"/>
      <c r="I1004" s="218"/>
    </row>
    <row r="1005" spans="3:9" ht="14.25" customHeight="1" x14ac:dyDescent="0.3">
      <c r="C1005" s="1"/>
      <c r="D1005" s="118"/>
      <c r="E1005" s="1"/>
      <c r="F1005" s="120"/>
      <c r="G1005" s="118"/>
      <c r="H1005" s="120"/>
      <c r="I1005" s="218"/>
    </row>
    <row r="1006" spans="3:9" ht="14.25" customHeight="1" x14ac:dyDescent="0.3">
      <c r="C1006" s="1"/>
      <c r="D1006" s="118"/>
      <c r="E1006" s="1"/>
      <c r="F1006" s="120"/>
      <c r="G1006" s="118"/>
      <c r="H1006" s="120"/>
      <c r="I1006" s="218"/>
    </row>
    <row r="1007" spans="3:9" ht="14.25" customHeight="1" x14ac:dyDescent="0.3">
      <c r="C1007" s="1"/>
      <c r="D1007" s="118"/>
      <c r="E1007" s="1"/>
      <c r="F1007" s="120"/>
      <c r="G1007" s="118"/>
      <c r="H1007" s="120"/>
      <c r="I1007" s="218"/>
    </row>
    <row r="1008" spans="3:9" ht="14.25" customHeight="1" x14ac:dyDescent="0.3">
      <c r="C1008" s="1"/>
      <c r="D1008" s="118"/>
      <c r="E1008" s="1"/>
      <c r="F1008" s="120"/>
      <c r="G1008" s="118"/>
      <c r="H1008" s="120"/>
      <c r="I1008" s="218"/>
    </row>
    <row r="1009" spans="3:9" ht="14.25" customHeight="1" x14ac:dyDescent="0.3">
      <c r="C1009" s="1"/>
      <c r="D1009" s="118"/>
      <c r="E1009" s="1"/>
      <c r="F1009" s="120"/>
      <c r="G1009" s="118"/>
      <c r="H1009" s="120"/>
      <c r="I1009" s="218"/>
    </row>
    <row r="1010" spans="3:9" ht="14.25" customHeight="1" x14ac:dyDescent="0.3">
      <c r="C1010" s="1"/>
      <c r="D1010" s="118"/>
      <c r="E1010" s="1"/>
      <c r="F1010" s="120"/>
      <c r="G1010" s="118"/>
      <c r="H1010" s="120"/>
      <c r="I1010" s="218"/>
    </row>
    <row r="1011" spans="3:9" ht="14.25" customHeight="1" x14ac:dyDescent="0.3">
      <c r="C1011" s="1"/>
      <c r="D1011" s="118"/>
      <c r="E1011" s="1"/>
      <c r="F1011" s="120"/>
      <c r="G1011" s="118"/>
      <c r="H1011" s="120"/>
      <c r="I1011" s="218"/>
    </row>
    <row r="1012" spans="3:9" ht="14.25" customHeight="1" x14ac:dyDescent="0.3">
      <c r="C1012" s="1"/>
      <c r="D1012" s="118"/>
      <c r="E1012" s="1"/>
      <c r="F1012" s="120"/>
      <c r="G1012" s="118"/>
      <c r="H1012" s="120"/>
      <c r="I1012" s="218"/>
    </row>
    <row r="1013" spans="3:9" ht="14.25" customHeight="1" x14ac:dyDescent="0.3">
      <c r="C1013" s="1"/>
      <c r="D1013" s="118"/>
      <c r="E1013" s="1"/>
      <c r="F1013" s="120"/>
      <c r="G1013" s="118"/>
      <c r="H1013" s="120"/>
      <c r="I1013" s="218"/>
    </row>
    <row r="1014" spans="3:9" ht="14.25" customHeight="1" x14ac:dyDescent="0.3">
      <c r="C1014" s="1"/>
      <c r="D1014" s="118"/>
      <c r="E1014" s="1"/>
      <c r="F1014" s="120"/>
      <c r="G1014" s="118"/>
      <c r="H1014" s="120"/>
      <c r="I1014" s="218"/>
    </row>
    <row r="1015" spans="3:9" ht="14.25" customHeight="1" x14ac:dyDescent="0.3">
      <c r="C1015" s="1"/>
      <c r="D1015" s="118"/>
      <c r="E1015" s="1"/>
      <c r="F1015" s="120"/>
      <c r="G1015" s="118"/>
      <c r="H1015" s="120"/>
      <c r="I1015" s="218"/>
    </row>
    <row r="1016" spans="3:9" ht="14.25" customHeight="1" x14ac:dyDescent="0.3">
      <c r="C1016" s="1"/>
      <c r="D1016" s="118"/>
      <c r="E1016" s="1"/>
      <c r="F1016" s="120"/>
      <c r="G1016" s="118"/>
      <c r="H1016" s="120"/>
      <c r="I1016" s="218"/>
    </row>
    <row r="1017" spans="3:9" ht="14.25" customHeight="1" x14ac:dyDescent="0.3">
      <c r="C1017" s="1"/>
      <c r="D1017" s="118"/>
      <c r="E1017" s="1"/>
      <c r="F1017" s="120"/>
      <c r="G1017" s="118"/>
      <c r="H1017" s="120"/>
      <c r="I1017" s="218"/>
    </row>
    <row r="1018" spans="3:9" ht="14.25" customHeight="1" x14ac:dyDescent="0.3">
      <c r="C1018" s="1"/>
      <c r="D1018" s="118"/>
      <c r="E1018" s="1"/>
      <c r="F1018" s="120"/>
      <c r="G1018" s="118"/>
      <c r="H1018" s="120"/>
      <c r="I1018" s="218"/>
    </row>
    <row r="1019" spans="3:9" ht="14.25" customHeight="1" x14ac:dyDescent="0.3">
      <c r="C1019" s="1"/>
      <c r="D1019" s="118"/>
      <c r="E1019" s="1"/>
      <c r="F1019" s="120"/>
      <c r="G1019" s="118"/>
      <c r="H1019" s="120"/>
      <c r="I1019" s="218"/>
    </row>
    <row r="1020" spans="3:9" ht="14.25" customHeight="1" x14ac:dyDescent="0.3">
      <c r="C1020" s="1"/>
      <c r="D1020" s="118"/>
      <c r="E1020" s="1"/>
      <c r="F1020" s="120"/>
      <c r="G1020" s="118"/>
      <c r="H1020" s="120"/>
      <c r="I1020" s="218"/>
    </row>
    <row r="1021" spans="3:9" ht="14.25" customHeight="1" x14ac:dyDescent="0.3">
      <c r="C1021" s="1"/>
      <c r="D1021" s="118"/>
      <c r="E1021" s="1"/>
      <c r="F1021" s="120"/>
      <c r="G1021" s="118"/>
      <c r="H1021" s="120"/>
      <c r="I1021" s="218"/>
    </row>
    <row r="1022" spans="3:9" ht="14.25" customHeight="1" x14ac:dyDescent="0.3">
      <c r="C1022" s="1"/>
      <c r="D1022" s="118"/>
      <c r="E1022" s="1"/>
      <c r="F1022" s="120"/>
      <c r="G1022" s="118"/>
      <c r="H1022" s="120"/>
      <c r="I1022" s="218"/>
    </row>
    <row r="1023" spans="3:9" ht="14.25" customHeight="1" x14ac:dyDescent="0.3">
      <c r="C1023" s="1"/>
      <c r="D1023" s="118"/>
      <c r="E1023" s="1"/>
      <c r="F1023" s="120"/>
      <c r="G1023" s="118"/>
      <c r="H1023" s="120"/>
      <c r="I1023" s="218"/>
    </row>
    <row r="1024" spans="3:9" ht="14.25" customHeight="1" x14ac:dyDescent="0.3">
      <c r="C1024" s="1"/>
      <c r="D1024" s="118"/>
      <c r="E1024" s="1"/>
      <c r="F1024" s="120"/>
      <c r="G1024" s="118"/>
      <c r="H1024" s="120"/>
      <c r="I1024" s="218"/>
    </row>
    <row r="1025" spans="3:9" ht="14.25" customHeight="1" x14ac:dyDescent="0.3">
      <c r="C1025" s="1"/>
      <c r="D1025" s="118"/>
      <c r="E1025" s="1"/>
      <c r="F1025" s="120"/>
      <c r="G1025" s="118"/>
      <c r="H1025" s="120"/>
      <c r="I1025" s="218"/>
    </row>
    <row r="1026" spans="3:9" ht="14.25" customHeight="1" x14ac:dyDescent="0.3">
      <c r="C1026" s="1"/>
      <c r="D1026" s="118"/>
      <c r="E1026" s="1"/>
      <c r="F1026" s="120"/>
      <c r="G1026" s="118"/>
      <c r="H1026" s="120"/>
      <c r="I1026" s="218"/>
    </row>
    <row r="1027" spans="3:9" ht="14.25" customHeight="1" x14ac:dyDescent="0.3">
      <c r="C1027" s="1"/>
      <c r="D1027" s="118"/>
      <c r="E1027" s="1"/>
      <c r="F1027" s="120"/>
      <c r="G1027" s="118"/>
      <c r="H1027" s="120"/>
      <c r="I1027" s="218"/>
    </row>
    <row r="1028" spans="3:9" ht="14.25" customHeight="1" x14ac:dyDescent="0.3">
      <c r="C1028" s="1"/>
      <c r="D1028" s="118"/>
      <c r="E1028" s="1"/>
      <c r="F1028" s="120"/>
      <c r="G1028" s="118"/>
      <c r="H1028" s="120"/>
      <c r="I1028" s="218"/>
    </row>
  </sheetData>
  <mergeCells count="45">
    <mergeCell ref="L152:O153"/>
    <mergeCell ref="Q156:R156"/>
    <mergeCell ref="A95:A106"/>
    <mergeCell ref="B95:B106"/>
    <mergeCell ref="A107:D107"/>
    <mergeCell ref="A110:B115"/>
    <mergeCell ref="A116:B121"/>
    <mergeCell ref="A127:I127"/>
    <mergeCell ref="Q131:R131"/>
    <mergeCell ref="A128:B134"/>
    <mergeCell ref="A135:B136"/>
    <mergeCell ref="A137:B142"/>
    <mergeCell ref="A143:B148"/>
    <mergeCell ref="A149:D149"/>
    <mergeCell ref="Q79:R79"/>
    <mergeCell ref="A94:I94"/>
    <mergeCell ref="Q94:U94"/>
    <mergeCell ref="A76:D76"/>
    <mergeCell ref="A78:I78"/>
    <mergeCell ref="A79:A91"/>
    <mergeCell ref="B79:B85"/>
    <mergeCell ref="B86:B88"/>
    <mergeCell ref="B89:B91"/>
    <mergeCell ref="A92:D92"/>
    <mergeCell ref="A57:I57"/>
    <mergeCell ref="A58:A75"/>
    <mergeCell ref="B58:B64"/>
    <mergeCell ref="Q63:R63"/>
    <mergeCell ref="B65:B69"/>
    <mergeCell ref="B70:B75"/>
    <mergeCell ref="A9:A54"/>
    <mergeCell ref="B9:B17"/>
    <mergeCell ref="B18:B22"/>
    <mergeCell ref="B23:B54"/>
    <mergeCell ref="A55:D55"/>
    <mergeCell ref="L1:L2"/>
    <mergeCell ref="L4:L5"/>
    <mergeCell ref="A5:D5"/>
    <mergeCell ref="E5:I5"/>
    <mergeCell ref="A8:I8"/>
    <mergeCell ref="A1:D3"/>
    <mergeCell ref="E1:E3"/>
    <mergeCell ref="F1:F3"/>
    <mergeCell ref="H1:H3"/>
    <mergeCell ref="I1:I3"/>
  </mergeCells>
  <pageMargins left="0.51181102362204722" right="0.51181102362204722" top="0.78740157480314965" bottom="0.78740157480314965" header="0" footer="0"/>
  <pageSetup paperSize="9" orientation="landscape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>
    <pageSetUpPr fitToPage="1"/>
  </sheetPr>
  <dimension ref="A1:AE1009"/>
  <sheetViews>
    <sheetView topLeftCell="A2" workbookViewId="0">
      <selection activeCell="I6" sqref="I6"/>
    </sheetView>
  </sheetViews>
  <sheetFormatPr defaultColWidth="14.44140625" defaultRowHeight="15" customHeight="1" outlineLevelCol="1" x14ac:dyDescent="0.3"/>
  <cols>
    <col min="1" max="1" width="8.6640625" customWidth="1"/>
    <col min="2" max="2" width="11" customWidth="1"/>
    <col min="3" max="3" width="6.44140625" customWidth="1"/>
    <col min="4" max="4" width="11.33203125" customWidth="1"/>
    <col min="5" max="5" width="11" customWidth="1"/>
    <col min="6" max="6" width="6.33203125" customWidth="1"/>
    <col min="7" max="7" width="8.88671875" customWidth="1"/>
    <col min="8" max="8" width="14.33203125" customWidth="1"/>
    <col min="9" max="9" width="14.6640625" customWidth="1" outlineLevel="1"/>
    <col min="10" max="10" width="14.44140625" outlineLevel="1"/>
    <col min="11" max="11" width="11.5546875" customWidth="1" outlineLevel="1"/>
    <col min="12" max="12" width="15.6640625" customWidth="1" outlineLevel="1"/>
    <col min="13" max="13" width="13" customWidth="1" outlineLevel="1"/>
    <col min="14" max="14" width="13.5546875" customWidth="1" outlineLevel="1"/>
    <col min="16" max="16" width="9.33203125" customWidth="1"/>
    <col min="17" max="17" width="8.5546875" customWidth="1"/>
    <col min="18" max="18" width="8.6640625" customWidth="1"/>
    <col min="19" max="19" width="0.109375" customWidth="1"/>
    <col min="20" max="24" width="8.6640625" customWidth="1"/>
    <col min="25" max="26" width="12.33203125" customWidth="1"/>
    <col min="27" max="28" width="8.6640625" customWidth="1"/>
    <col min="29" max="29" width="10.88671875" customWidth="1"/>
    <col min="30" max="31" width="8.6640625" customWidth="1"/>
  </cols>
  <sheetData>
    <row r="1" spans="1:20" ht="14.25" hidden="1" customHeight="1" x14ac:dyDescent="0.45">
      <c r="B1" s="693" t="s">
        <v>147</v>
      </c>
      <c r="C1" s="647"/>
      <c r="D1" s="647"/>
      <c r="E1" s="647"/>
      <c r="F1" s="647"/>
      <c r="G1" s="647"/>
      <c r="H1" s="647"/>
      <c r="I1" s="647"/>
      <c r="J1" s="647"/>
      <c r="K1" s="647"/>
      <c r="L1" s="648"/>
      <c r="M1" s="309"/>
      <c r="N1" s="309"/>
      <c r="O1" s="310" t="s">
        <v>148</v>
      </c>
      <c r="Q1" s="122"/>
      <c r="R1" s="122"/>
    </row>
    <row r="2" spans="1:20" ht="17.25" customHeight="1" x14ac:dyDescent="0.45">
      <c r="A2" s="694" t="s">
        <v>149</v>
      </c>
      <c r="B2" s="607"/>
      <c r="C2" s="607"/>
      <c r="D2" s="607"/>
      <c r="E2" s="607"/>
      <c r="F2" s="607"/>
      <c r="G2" s="607"/>
      <c r="H2" s="607"/>
      <c r="I2" s="608"/>
      <c r="J2" s="311">
        <f>VIABILIDADE!F1</f>
        <v>45944</v>
      </c>
      <c r="K2" s="312" t="s">
        <v>150</v>
      </c>
      <c r="L2" s="313" t="s">
        <v>151</v>
      </c>
      <c r="M2" s="314"/>
      <c r="N2" s="314"/>
      <c r="O2" s="315"/>
      <c r="P2" s="679" t="s">
        <v>152</v>
      </c>
      <c r="Q2" s="600"/>
      <c r="R2" s="601"/>
      <c r="S2" s="316"/>
    </row>
    <row r="3" spans="1:20" ht="21" customHeight="1" x14ac:dyDescent="0.45">
      <c r="A3" s="612"/>
      <c r="B3" s="613"/>
      <c r="C3" s="613"/>
      <c r="D3" s="613"/>
      <c r="E3" s="613"/>
      <c r="F3" s="613"/>
      <c r="G3" s="613"/>
      <c r="H3" s="613"/>
      <c r="I3" s="614"/>
      <c r="J3" s="317" t="s">
        <v>153</v>
      </c>
      <c r="K3" s="318">
        <v>8.5500000000000007</v>
      </c>
      <c r="L3" s="318">
        <v>11.99</v>
      </c>
      <c r="M3" s="33"/>
      <c r="N3" s="314"/>
      <c r="O3" s="315"/>
      <c r="P3" s="319"/>
      <c r="Q3" s="319"/>
      <c r="R3" s="319"/>
      <c r="S3" s="316"/>
    </row>
    <row r="4" spans="1:20" ht="14.25" customHeight="1" x14ac:dyDescent="0.3">
      <c r="A4" s="695" t="s">
        <v>154</v>
      </c>
      <c r="B4" s="692"/>
      <c r="C4" s="320" t="s">
        <v>155</v>
      </c>
      <c r="D4" s="695" t="s">
        <v>156</v>
      </c>
      <c r="E4" s="691"/>
      <c r="F4" s="692"/>
      <c r="G4" s="320"/>
      <c r="H4" s="321" t="s">
        <v>157</v>
      </c>
      <c r="I4" s="322" t="s">
        <v>158</v>
      </c>
      <c r="J4" s="323">
        <v>20</v>
      </c>
      <c r="K4" s="324" t="s">
        <v>159</v>
      </c>
      <c r="L4" s="325" t="s">
        <v>160</v>
      </c>
      <c r="M4" s="326" t="s">
        <v>161</v>
      </c>
      <c r="N4" s="326"/>
      <c r="O4" s="327" t="s">
        <v>162</v>
      </c>
      <c r="P4" s="328" t="s">
        <v>163</v>
      </c>
      <c r="Q4" s="329" t="s">
        <v>164</v>
      </c>
      <c r="R4" s="329" t="s">
        <v>165</v>
      </c>
      <c r="S4" s="330"/>
      <c r="T4" s="314"/>
    </row>
    <row r="5" spans="1:20" ht="14.25" customHeight="1" x14ac:dyDescent="0.3">
      <c r="A5" s="331" t="s">
        <v>166</v>
      </c>
      <c r="B5" s="331" t="s">
        <v>167</v>
      </c>
      <c r="C5" s="331" t="s">
        <v>168</v>
      </c>
      <c r="D5" s="331" t="s">
        <v>169</v>
      </c>
      <c r="E5" s="331" t="s">
        <v>170</v>
      </c>
      <c r="F5" s="332" t="s">
        <v>171</v>
      </c>
      <c r="G5" s="333" t="s">
        <v>172</v>
      </c>
      <c r="H5" s="332" t="s">
        <v>173</v>
      </c>
      <c r="I5" s="334">
        <v>85.5</v>
      </c>
      <c r="J5" s="334">
        <v>8.9</v>
      </c>
      <c r="K5" s="334">
        <v>17</v>
      </c>
      <c r="L5" s="335">
        <v>16.7</v>
      </c>
      <c r="M5" s="336">
        <v>0.1</v>
      </c>
      <c r="N5" s="336"/>
      <c r="O5" s="337"/>
      <c r="P5" s="338"/>
      <c r="Q5" s="339"/>
      <c r="R5" s="340"/>
    </row>
    <row r="6" spans="1:20" ht="14.25" customHeight="1" x14ac:dyDescent="0.3">
      <c r="A6" s="636" t="s">
        <v>174</v>
      </c>
      <c r="B6" s="341">
        <v>0.5</v>
      </c>
      <c r="C6" s="342">
        <v>100</v>
      </c>
      <c r="D6" s="343">
        <v>0.39</v>
      </c>
      <c r="E6" s="344">
        <v>1</v>
      </c>
      <c r="F6" s="345"/>
      <c r="G6" s="345">
        <v>1.3299999999999999E-2</v>
      </c>
      <c r="H6" s="346">
        <f t="shared" ref="H6:H51" si="0">D6+E6+F6+G6</f>
        <v>1.4033000000000002</v>
      </c>
      <c r="I6" s="347">
        <f t="shared" ref="I6:I51" si="1">($I$5*D6)</f>
        <v>33.344999999999999</v>
      </c>
      <c r="J6" s="348">
        <f t="shared" ref="J6:J14" si="2">(($J$5*0.8889)+($J$4*0.1111))*E6</f>
        <v>10.13321</v>
      </c>
      <c r="K6" s="349">
        <v>0</v>
      </c>
      <c r="L6" s="350">
        <f t="shared" ref="L6:L19" si="3">G6*$L$5</f>
        <v>0.22210999999999997</v>
      </c>
      <c r="M6" s="351">
        <f t="shared" ref="M6:M51" si="4">$M$5</f>
        <v>0.1</v>
      </c>
      <c r="N6" s="351"/>
      <c r="O6" s="352">
        <f t="shared" ref="O6:O20" si="5">I6+J6+K6+L6+M6</f>
        <v>43.800319999999999</v>
      </c>
      <c r="P6" s="353">
        <v>0</v>
      </c>
      <c r="Q6" s="354">
        <v>0</v>
      </c>
      <c r="R6" s="354">
        <v>0</v>
      </c>
      <c r="S6" s="354">
        <v>0</v>
      </c>
    </row>
    <row r="7" spans="1:20" ht="14.25" customHeight="1" x14ac:dyDescent="0.3">
      <c r="A7" s="637"/>
      <c r="B7" s="355">
        <v>0.75</v>
      </c>
      <c r="C7" s="356">
        <v>100</v>
      </c>
      <c r="D7" s="357">
        <v>0.61399999999999999</v>
      </c>
      <c r="E7" s="358">
        <v>1</v>
      </c>
      <c r="F7" s="359"/>
      <c r="G7" s="359">
        <v>1.3299999999999999E-2</v>
      </c>
      <c r="H7" s="360">
        <f t="shared" si="0"/>
        <v>1.6273</v>
      </c>
      <c r="I7" s="347">
        <f t="shared" si="1"/>
        <v>52.497</v>
      </c>
      <c r="J7" s="361">
        <f t="shared" si="2"/>
        <v>10.13321</v>
      </c>
      <c r="K7" s="362">
        <v>0</v>
      </c>
      <c r="L7" s="363">
        <f t="shared" si="3"/>
        <v>0.22210999999999997</v>
      </c>
      <c r="M7" s="364">
        <f t="shared" si="4"/>
        <v>0.1</v>
      </c>
      <c r="N7" s="365"/>
      <c r="O7" s="366">
        <f t="shared" si="5"/>
        <v>62.95232</v>
      </c>
      <c r="P7" s="353">
        <v>0</v>
      </c>
      <c r="Q7" s="354">
        <v>0</v>
      </c>
      <c r="R7" s="354">
        <v>0</v>
      </c>
      <c r="S7" s="354">
        <v>0</v>
      </c>
    </row>
    <row r="8" spans="1:20" ht="14.25" customHeight="1" x14ac:dyDescent="0.3">
      <c r="A8" s="637"/>
      <c r="B8" s="355">
        <v>1</v>
      </c>
      <c r="C8" s="356">
        <v>100</v>
      </c>
      <c r="D8" s="357">
        <v>0.78100000000000003</v>
      </c>
      <c r="E8" s="358">
        <v>1</v>
      </c>
      <c r="F8" s="359"/>
      <c r="G8" s="359">
        <v>1.3299999999999999E-2</v>
      </c>
      <c r="H8" s="360">
        <f t="shared" si="0"/>
        <v>1.7943000000000002</v>
      </c>
      <c r="I8" s="347">
        <f t="shared" si="1"/>
        <v>66.775500000000008</v>
      </c>
      <c r="J8" s="361">
        <f t="shared" si="2"/>
        <v>10.13321</v>
      </c>
      <c r="K8" s="362">
        <v>0</v>
      </c>
      <c r="L8" s="363">
        <f t="shared" si="3"/>
        <v>0.22210999999999997</v>
      </c>
      <c r="M8" s="364">
        <f t="shared" si="4"/>
        <v>0.1</v>
      </c>
      <c r="N8" s="365"/>
      <c r="O8" s="366">
        <f t="shared" si="5"/>
        <v>77.230820000000008</v>
      </c>
      <c r="P8" s="353">
        <v>0</v>
      </c>
      <c r="Q8" s="354">
        <v>0</v>
      </c>
      <c r="R8" s="354">
        <v>0</v>
      </c>
      <c r="S8" s="354">
        <v>0</v>
      </c>
    </row>
    <row r="9" spans="1:20" ht="15" customHeight="1" x14ac:dyDescent="0.3">
      <c r="A9" s="637"/>
      <c r="B9" s="355">
        <v>1.5</v>
      </c>
      <c r="C9" s="356">
        <v>100</v>
      </c>
      <c r="D9" s="357">
        <v>1.228</v>
      </c>
      <c r="E9" s="358">
        <v>0.9</v>
      </c>
      <c r="F9" s="359"/>
      <c r="G9" s="359">
        <v>1.3299999999999999E-2</v>
      </c>
      <c r="H9" s="360">
        <f t="shared" si="0"/>
        <v>2.1413000000000002</v>
      </c>
      <c r="I9" s="347">
        <f t="shared" si="1"/>
        <v>104.994</v>
      </c>
      <c r="J9" s="361">
        <f t="shared" si="2"/>
        <v>9.1198890000000006</v>
      </c>
      <c r="K9" s="362">
        <v>0</v>
      </c>
      <c r="L9" s="363">
        <f t="shared" si="3"/>
        <v>0.22210999999999997</v>
      </c>
      <c r="M9" s="364">
        <f t="shared" si="4"/>
        <v>0.1</v>
      </c>
      <c r="N9" s="365"/>
      <c r="O9" s="366">
        <f t="shared" si="5"/>
        <v>114.435999</v>
      </c>
      <c r="P9" s="353">
        <v>0</v>
      </c>
      <c r="Q9" s="354">
        <v>0</v>
      </c>
      <c r="R9" s="354">
        <v>0</v>
      </c>
      <c r="S9" s="354">
        <v>0</v>
      </c>
    </row>
    <row r="10" spans="1:20" ht="14.25" customHeight="1" x14ac:dyDescent="0.3">
      <c r="A10" s="637"/>
      <c r="B10" s="355">
        <v>2.5</v>
      </c>
      <c r="C10" s="356">
        <v>100</v>
      </c>
      <c r="D10" s="357">
        <v>2</v>
      </c>
      <c r="E10" s="367">
        <v>1</v>
      </c>
      <c r="F10" s="368"/>
      <c r="G10" s="359">
        <v>1.3299999999999999E-2</v>
      </c>
      <c r="H10" s="360">
        <f t="shared" si="0"/>
        <v>3.0133000000000001</v>
      </c>
      <c r="I10" s="347">
        <f t="shared" si="1"/>
        <v>171</v>
      </c>
      <c r="J10" s="361">
        <f t="shared" si="2"/>
        <v>10.13321</v>
      </c>
      <c r="K10" s="369">
        <v>0</v>
      </c>
      <c r="L10" s="370">
        <f t="shared" si="3"/>
        <v>0.22210999999999997</v>
      </c>
      <c r="M10" s="364">
        <f t="shared" si="4"/>
        <v>0.1</v>
      </c>
      <c r="N10" s="365"/>
      <c r="O10" s="366">
        <f t="shared" si="5"/>
        <v>181.45531999999997</v>
      </c>
      <c r="P10" s="353">
        <v>0</v>
      </c>
      <c r="Q10" s="354">
        <v>0</v>
      </c>
      <c r="R10" s="354">
        <v>0</v>
      </c>
      <c r="S10" s="354">
        <v>0</v>
      </c>
    </row>
    <row r="11" spans="1:20" ht="14.25" customHeight="1" x14ac:dyDescent="0.3">
      <c r="A11" s="637"/>
      <c r="B11" s="355">
        <v>4</v>
      </c>
      <c r="C11" s="356">
        <v>100</v>
      </c>
      <c r="D11" s="357">
        <v>3.1259999999999999</v>
      </c>
      <c r="E11" s="367">
        <v>1.7090000000000001</v>
      </c>
      <c r="F11" s="368"/>
      <c r="G11" s="359">
        <v>1.3299999999999999E-2</v>
      </c>
      <c r="H11" s="360">
        <f t="shared" si="0"/>
        <v>4.8483000000000001</v>
      </c>
      <c r="I11" s="347">
        <f t="shared" si="1"/>
        <v>267.27299999999997</v>
      </c>
      <c r="J11" s="361">
        <f t="shared" si="2"/>
        <v>17.317655890000001</v>
      </c>
      <c r="K11" s="369">
        <v>0</v>
      </c>
      <c r="L11" s="370">
        <f t="shared" si="3"/>
        <v>0.22210999999999997</v>
      </c>
      <c r="M11" s="364">
        <f t="shared" si="4"/>
        <v>0.1</v>
      </c>
      <c r="N11" s="365"/>
      <c r="O11" s="366">
        <f t="shared" si="5"/>
        <v>284.91276589</v>
      </c>
      <c r="P11" s="353">
        <v>0</v>
      </c>
      <c r="Q11" s="354">
        <v>0</v>
      </c>
      <c r="R11" s="354">
        <v>0</v>
      </c>
      <c r="S11" s="354">
        <v>0</v>
      </c>
    </row>
    <row r="12" spans="1:20" ht="14.25" customHeight="1" x14ac:dyDescent="0.3">
      <c r="A12" s="637"/>
      <c r="B12" s="355">
        <v>6</v>
      </c>
      <c r="C12" s="356">
        <v>100</v>
      </c>
      <c r="D12" s="357">
        <v>4.8</v>
      </c>
      <c r="E12" s="367">
        <v>2.2360000000000002</v>
      </c>
      <c r="F12" s="368"/>
      <c r="G12" s="359">
        <v>1.3299999999999999E-2</v>
      </c>
      <c r="H12" s="360">
        <f t="shared" si="0"/>
        <v>7.0492999999999997</v>
      </c>
      <c r="I12" s="347">
        <f t="shared" si="1"/>
        <v>410.4</v>
      </c>
      <c r="J12" s="361">
        <f t="shared" si="2"/>
        <v>22.657857560000004</v>
      </c>
      <c r="K12" s="369">
        <v>0</v>
      </c>
      <c r="L12" s="370">
        <f t="shared" si="3"/>
        <v>0.22210999999999997</v>
      </c>
      <c r="M12" s="364">
        <f t="shared" si="4"/>
        <v>0.1</v>
      </c>
      <c r="N12" s="365"/>
      <c r="O12" s="366">
        <f t="shared" si="5"/>
        <v>433.37996756000001</v>
      </c>
      <c r="P12" s="353">
        <v>0</v>
      </c>
      <c r="Q12" s="354">
        <v>0</v>
      </c>
      <c r="R12" s="354">
        <v>0</v>
      </c>
      <c r="S12" s="354">
        <v>0</v>
      </c>
    </row>
    <row r="13" spans="1:20" ht="14.25" customHeight="1" x14ac:dyDescent="0.3">
      <c r="A13" s="637"/>
      <c r="B13" s="355">
        <v>10</v>
      </c>
      <c r="C13" s="356">
        <v>100</v>
      </c>
      <c r="D13" s="37">
        <v>8.0380000000000003</v>
      </c>
      <c r="E13" s="367">
        <v>3.4020000000000001</v>
      </c>
      <c r="F13" s="368"/>
      <c r="G13" s="359">
        <v>1.3299999999999999E-2</v>
      </c>
      <c r="H13" s="360">
        <f t="shared" si="0"/>
        <v>11.4533</v>
      </c>
      <c r="I13" s="347">
        <f t="shared" si="1"/>
        <v>687.24900000000002</v>
      </c>
      <c r="J13" s="371">
        <f t="shared" si="2"/>
        <v>34.473180419999998</v>
      </c>
      <c r="K13" s="369">
        <v>0</v>
      </c>
      <c r="L13" s="370">
        <f t="shared" si="3"/>
        <v>0.22210999999999997</v>
      </c>
      <c r="M13" s="364">
        <f t="shared" si="4"/>
        <v>0.1</v>
      </c>
      <c r="N13" s="365"/>
      <c r="O13" s="366">
        <f t="shared" si="5"/>
        <v>722.04429042000004</v>
      </c>
      <c r="P13" s="353">
        <v>0</v>
      </c>
      <c r="Q13" s="354">
        <v>0</v>
      </c>
      <c r="R13" s="354">
        <v>0</v>
      </c>
      <c r="S13" s="354">
        <v>0</v>
      </c>
    </row>
    <row r="14" spans="1:20" ht="14.25" customHeight="1" x14ac:dyDescent="0.3">
      <c r="A14" s="637"/>
      <c r="B14" s="372">
        <v>16</v>
      </c>
      <c r="C14" s="373">
        <v>100</v>
      </c>
      <c r="D14" s="39">
        <v>12.1</v>
      </c>
      <c r="E14" s="374">
        <v>4.9000000000000004</v>
      </c>
      <c r="F14" s="375"/>
      <c r="G14" s="375">
        <v>0.03</v>
      </c>
      <c r="H14" s="376">
        <f t="shared" si="0"/>
        <v>17.03</v>
      </c>
      <c r="I14" s="377">
        <f t="shared" si="1"/>
        <v>1034.55</v>
      </c>
      <c r="J14" s="378">
        <f t="shared" si="2"/>
        <v>49.652729000000001</v>
      </c>
      <c r="K14" s="379">
        <v>0</v>
      </c>
      <c r="L14" s="380">
        <f t="shared" si="3"/>
        <v>0.501</v>
      </c>
      <c r="M14" s="381">
        <f t="shared" si="4"/>
        <v>0.1</v>
      </c>
      <c r="N14" s="382"/>
      <c r="O14" s="383">
        <f t="shared" si="5"/>
        <v>1084.8037289999997</v>
      </c>
      <c r="P14" s="353">
        <v>0</v>
      </c>
      <c r="Q14" s="354">
        <v>0</v>
      </c>
      <c r="R14" s="354">
        <v>0</v>
      </c>
      <c r="S14" s="354">
        <v>0</v>
      </c>
    </row>
    <row r="15" spans="1:20" ht="14.25" customHeight="1" x14ac:dyDescent="0.3">
      <c r="A15" s="636" t="s">
        <v>29</v>
      </c>
      <c r="B15" s="384" t="s">
        <v>175</v>
      </c>
      <c r="C15" s="342">
        <v>100</v>
      </c>
      <c r="D15" s="385">
        <v>1.1000000000000001</v>
      </c>
      <c r="E15" s="386">
        <v>1.5</v>
      </c>
      <c r="F15" s="345"/>
      <c r="G15" s="345">
        <v>0.03</v>
      </c>
      <c r="H15" s="346">
        <f t="shared" si="0"/>
        <v>2.63</v>
      </c>
      <c r="I15" s="387">
        <f t="shared" si="1"/>
        <v>94.050000000000011</v>
      </c>
      <c r="J15" s="388">
        <f t="shared" ref="J15:J19" si="6">E15*$J$5</f>
        <v>13.350000000000001</v>
      </c>
      <c r="K15" s="389"/>
      <c r="L15" s="350">
        <f t="shared" si="3"/>
        <v>0.501</v>
      </c>
      <c r="M15" s="351">
        <f t="shared" si="4"/>
        <v>0.1</v>
      </c>
      <c r="N15" s="351"/>
      <c r="O15" s="352">
        <f t="shared" si="5"/>
        <v>108.001</v>
      </c>
      <c r="P15" s="353">
        <v>0</v>
      </c>
      <c r="Q15" s="354">
        <v>0</v>
      </c>
      <c r="R15" s="354">
        <v>0</v>
      </c>
      <c r="S15" s="354">
        <v>0</v>
      </c>
    </row>
    <row r="16" spans="1:20" ht="14.25" customHeight="1" x14ac:dyDescent="0.3">
      <c r="A16" s="637"/>
      <c r="B16" s="390" t="s">
        <v>31</v>
      </c>
      <c r="C16" s="356">
        <v>100</v>
      </c>
      <c r="D16" s="391">
        <v>1.54</v>
      </c>
      <c r="E16" s="392">
        <v>2.2200000000000002</v>
      </c>
      <c r="F16" s="368"/>
      <c r="G16" s="368">
        <v>0.03</v>
      </c>
      <c r="H16" s="360">
        <f t="shared" si="0"/>
        <v>3.79</v>
      </c>
      <c r="I16" s="393">
        <f t="shared" si="1"/>
        <v>131.67000000000002</v>
      </c>
      <c r="J16" s="361">
        <f t="shared" si="6"/>
        <v>19.758000000000003</v>
      </c>
      <c r="K16" s="394"/>
      <c r="L16" s="370">
        <f t="shared" si="3"/>
        <v>0.501</v>
      </c>
      <c r="M16" s="364">
        <f t="shared" si="4"/>
        <v>0.1</v>
      </c>
      <c r="N16" s="365"/>
      <c r="O16" s="366">
        <f t="shared" si="5"/>
        <v>152.02900000000002</v>
      </c>
      <c r="P16" s="353">
        <v>0</v>
      </c>
      <c r="Q16" s="354">
        <v>0</v>
      </c>
      <c r="R16" s="354">
        <v>0</v>
      </c>
      <c r="S16" s="354">
        <v>0</v>
      </c>
    </row>
    <row r="17" spans="1:31" ht="15" customHeight="1" x14ac:dyDescent="0.3">
      <c r="A17" s="637"/>
      <c r="B17" s="390" t="s">
        <v>32</v>
      </c>
      <c r="C17" s="356">
        <v>100</v>
      </c>
      <c r="D17" s="391">
        <v>2.4300000000000002</v>
      </c>
      <c r="E17" s="395">
        <v>2.16</v>
      </c>
      <c r="F17" s="396"/>
      <c r="G17" s="368">
        <v>0.03</v>
      </c>
      <c r="H17" s="360">
        <f t="shared" si="0"/>
        <v>4.62</v>
      </c>
      <c r="I17" s="393">
        <f t="shared" si="1"/>
        <v>207.76500000000001</v>
      </c>
      <c r="J17" s="361">
        <f t="shared" si="6"/>
        <v>19.224000000000004</v>
      </c>
      <c r="K17" s="394">
        <v>0</v>
      </c>
      <c r="L17" s="370">
        <f t="shared" si="3"/>
        <v>0.501</v>
      </c>
      <c r="M17" s="364">
        <f t="shared" si="4"/>
        <v>0.1</v>
      </c>
      <c r="N17" s="365"/>
      <c r="O17" s="366">
        <f t="shared" si="5"/>
        <v>227.59000000000003</v>
      </c>
      <c r="P17" s="353">
        <v>0</v>
      </c>
      <c r="Q17" s="354">
        <v>0</v>
      </c>
      <c r="R17" s="354">
        <v>0</v>
      </c>
      <c r="S17" s="354">
        <v>0</v>
      </c>
    </row>
    <row r="18" spans="1:31" ht="14.25" customHeight="1" x14ac:dyDescent="0.3">
      <c r="A18" s="637"/>
      <c r="B18" s="390" t="s">
        <v>33</v>
      </c>
      <c r="C18" s="356">
        <v>100</v>
      </c>
      <c r="D18" s="391">
        <v>4</v>
      </c>
      <c r="E18" s="395">
        <v>3.1549999999999998</v>
      </c>
      <c r="F18" s="396"/>
      <c r="G18" s="368">
        <v>0.03</v>
      </c>
      <c r="H18" s="360">
        <f t="shared" si="0"/>
        <v>7.1849999999999996</v>
      </c>
      <c r="I18" s="393">
        <f t="shared" si="1"/>
        <v>342</v>
      </c>
      <c r="J18" s="361">
        <f t="shared" si="6"/>
        <v>28.079499999999999</v>
      </c>
      <c r="K18" s="394">
        <v>0</v>
      </c>
      <c r="L18" s="370">
        <f t="shared" si="3"/>
        <v>0.501</v>
      </c>
      <c r="M18" s="364">
        <f t="shared" si="4"/>
        <v>0.1</v>
      </c>
      <c r="N18" s="365"/>
      <c r="O18" s="366">
        <f t="shared" si="5"/>
        <v>370.68049999999999</v>
      </c>
      <c r="P18" s="353">
        <v>0</v>
      </c>
      <c r="Q18" s="354">
        <v>0</v>
      </c>
      <c r="R18" s="354">
        <v>0</v>
      </c>
      <c r="S18" s="354">
        <v>0</v>
      </c>
    </row>
    <row r="19" spans="1:31" ht="14.25" customHeight="1" x14ac:dyDescent="0.3">
      <c r="A19" s="638"/>
      <c r="B19" s="397" t="s">
        <v>34</v>
      </c>
      <c r="C19" s="373">
        <v>100</v>
      </c>
      <c r="D19" s="398">
        <v>6.2</v>
      </c>
      <c r="E19" s="399">
        <v>3.2120000000000002</v>
      </c>
      <c r="F19" s="400"/>
      <c r="G19" s="375">
        <v>0.03</v>
      </c>
      <c r="H19" s="376">
        <f t="shared" si="0"/>
        <v>9.4420000000000002</v>
      </c>
      <c r="I19" s="377">
        <f t="shared" si="1"/>
        <v>530.1</v>
      </c>
      <c r="J19" s="388">
        <f t="shared" si="6"/>
        <v>28.586800000000004</v>
      </c>
      <c r="K19" s="379">
        <v>0</v>
      </c>
      <c r="L19" s="380">
        <f t="shared" si="3"/>
        <v>0.501</v>
      </c>
      <c r="M19" s="381">
        <f t="shared" si="4"/>
        <v>0.1</v>
      </c>
      <c r="N19" s="382"/>
      <c r="O19" s="383">
        <f t="shared" si="5"/>
        <v>559.28780000000006</v>
      </c>
      <c r="P19" s="353">
        <v>0</v>
      </c>
      <c r="Q19" s="354">
        <v>0</v>
      </c>
      <c r="R19" s="354">
        <v>0</v>
      </c>
      <c r="S19" s="354">
        <v>0</v>
      </c>
      <c r="W19" s="170" t="s">
        <v>176</v>
      </c>
      <c r="X19" s="170" t="s">
        <v>177</v>
      </c>
      <c r="Y19" s="170" t="s">
        <v>178</v>
      </c>
      <c r="AA19" s="170" t="s">
        <v>179</v>
      </c>
      <c r="AB19" s="170" t="s">
        <v>180</v>
      </c>
      <c r="AC19" s="170" t="s">
        <v>180</v>
      </c>
      <c r="AD19" s="401" t="s">
        <v>181</v>
      </c>
      <c r="AE19" s="401" t="s">
        <v>182</v>
      </c>
    </row>
    <row r="20" spans="1:31" ht="15" customHeight="1" x14ac:dyDescent="0.3">
      <c r="A20" s="636"/>
      <c r="B20" s="402" t="s">
        <v>31</v>
      </c>
      <c r="C20" s="403">
        <v>100</v>
      </c>
      <c r="D20" s="404">
        <v>1.2</v>
      </c>
      <c r="E20" s="405">
        <f>D20*2.2</f>
        <v>2.64</v>
      </c>
      <c r="F20" s="406">
        <v>0</v>
      </c>
      <c r="G20" s="359">
        <v>0</v>
      </c>
      <c r="H20" s="360">
        <f t="shared" si="0"/>
        <v>3.84</v>
      </c>
      <c r="I20" s="407">
        <f t="shared" si="1"/>
        <v>102.6</v>
      </c>
      <c r="J20" s="361">
        <f t="shared" ref="J20:J51" si="7">(E20*0.35*$K$5)+(E20*0.65*$K$3)</f>
        <v>30.379800000000003</v>
      </c>
      <c r="K20" s="362">
        <v>0</v>
      </c>
      <c r="L20" s="363">
        <v>0.3</v>
      </c>
      <c r="M20" s="364">
        <f t="shared" si="4"/>
        <v>0.1</v>
      </c>
      <c r="N20" s="364"/>
      <c r="O20" s="408">
        <f t="shared" si="5"/>
        <v>133.37980000000002</v>
      </c>
      <c r="P20" s="353"/>
      <c r="Q20" s="354"/>
      <c r="R20" s="354"/>
      <c r="S20" s="354"/>
      <c r="W20" s="409">
        <f t="shared" ref="W20:X20" si="8">MEDIAN(W22:W30)</f>
        <v>0.65115532734274706</v>
      </c>
      <c r="X20" s="409">
        <f t="shared" si="8"/>
        <v>0.34884467265725289</v>
      </c>
      <c r="Z20" s="409">
        <f>W20+X20</f>
        <v>1</v>
      </c>
      <c r="AC20" s="170" t="s">
        <v>183</v>
      </c>
      <c r="AD20" s="401"/>
      <c r="AE20" s="401"/>
    </row>
    <row r="21" spans="1:31" ht="15" customHeight="1" x14ac:dyDescent="0.3">
      <c r="A21" s="637"/>
      <c r="B21" s="402" t="s">
        <v>32</v>
      </c>
      <c r="C21" s="403">
        <v>100</v>
      </c>
      <c r="D21" s="410">
        <v>2.2000000000000002</v>
      </c>
      <c r="E21" s="405">
        <v>6</v>
      </c>
      <c r="F21" s="411"/>
      <c r="G21" s="359">
        <v>0</v>
      </c>
      <c r="H21" s="360">
        <f t="shared" si="0"/>
        <v>8.1999999999999993</v>
      </c>
      <c r="I21" s="347">
        <f t="shared" si="1"/>
        <v>188.10000000000002</v>
      </c>
      <c r="J21" s="361">
        <f t="shared" si="7"/>
        <v>69.045000000000002</v>
      </c>
      <c r="K21" s="362">
        <v>0</v>
      </c>
      <c r="L21" s="363">
        <v>0.3</v>
      </c>
      <c r="M21" s="364">
        <f t="shared" si="4"/>
        <v>0.1</v>
      </c>
      <c r="N21" s="364"/>
      <c r="O21" s="408">
        <f>I21+J21+L25+L21+M21</f>
        <v>257.84500000000008</v>
      </c>
      <c r="P21" s="353"/>
      <c r="Q21" s="354"/>
      <c r="R21" s="354"/>
      <c r="S21" s="354"/>
      <c r="T21" s="409"/>
      <c r="U21" s="409"/>
      <c r="V21" s="409"/>
      <c r="W21" s="409">
        <f>W20</f>
        <v>0.65115532734274706</v>
      </c>
      <c r="X21" s="412">
        <f>X20-Y21</f>
        <v>0.2988446726572529</v>
      </c>
      <c r="Y21" s="412">
        <f>0.05</f>
        <v>0.05</v>
      </c>
      <c r="Z21" s="409">
        <f>W21+X21+Y21</f>
        <v>1</v>
      </c>
      <c r="AB21" s="413"/>
      <c r="AD21" s="401"/>
      <c r="AE21" s="401"/>
    </row>
    <row r="22" spans="1:31" ht="14.25" customHeight="1" x14ac:dyDescent="0.3">
      <c r="A22" s="637"/>
      <c r="B22" s="402" t="s">
        <v>33</v>
      </c>
      <c r="C22" s="403">
        <v>100</v>
      </c>
      <c r="D22" s="410">
        <v>3.6</v>
      </c>
      <c r="E22" s="405">
        <v>6.2</v>
      </c>
      <c r="F22" s="396"/>
      <c r="G22" s="359">
        <v>0</v>
      </c>
      <c r="H22" s="360">
        <f t="shared" si="0"/>
        <v>9.8000000000000007</v>
      </c>
      <c r="I22" s="347">
        <f t="shared" si="1"/>
        <v>307.8</v>
      </c>
      <c r="J22" s="361">
        <f t="shared" si="7"/>
        <v>71.346500000000006</v>
      </c>
      <c r="K22" s="369">
        <v>0</v>
      </c>
      <c r="L22" s="363">
        <v>0.3</v>
      </c>
      <c r="M22" s="364">
        <f t="shared" si="4"/>
        <v>0.1</v>
      </c>
      <c r="N22" s="365"/>
      <c r="O22" s="366">
        <f t="shared" ref="O22:O51" si="9">I22+J22+K22+L22+M22</f>
        <v>379.54650000000004</v>
      </c>
      <c r="P22" s="353">
        <v>0</v>
      </c>
      <c r="Q22" s="354">
        <v>0</v>
      </c>
      <c r="R22" s="354">
        <v>0</v>
      </c>
      <c r="S22" s="354">
        <v>0</v>
      </c>
      <c r="T22" s="409">
        <f t="shared" ref="T22:T24" si="10">D22/H22</f>
        <v>0.36734693877551017</v>
      </c>
      <c r="U22" s="409">
        <f t="shared" ref="U22:U24" si="11">E22/H22</f>
        <v>0.63265306122448972</v>
      </c>
      <c r="V22" s="409">
        <f t="shared" ref="V22:V24" si="12">T22+U22</f>
        <v>0.99999999999999989</v>
      </c>
      <c r="W22" s="409">
        <f t="shared" ref="W22:W24" si="13">T22/U22</f>
        <v>0.58064516129032262</v>
      </c>
      <c r="X22" s="409">
        <f t="shared" ref="X22:X24" si="14">V22-W22</f>
        <v>0.41935483870967727</v>
      </c>
      <c r="Y22" s="409"/>
      <c r="AA22" s="170">
        <f t="shared" ref="AA22:AA26" si="15">D22</f>
        <v>3.6</v>
      </c>
      <c r="AB22" s="413">
        <f t="shared" ref="AB22:AB26" si="16">AA22/$X$20</f>
        <v>10.319779208831648</v>
      </c>
      <c r="AC22" s="413">
        <f t="shared" ref="AC22:AC26" si="17">AA22/$X$21</f>
        <v>12.046391752577319</v>
      </c>
      <c r="AD22" s="414">
        <f t="shared" ref="AD22:AD26" si="18">AB22/AA22</f>
        <v>2.8666053357865686</v>
      </c>
      <c r="AE22" s="401">
        <f t="shared" ref="AE22:AE26" si="19">AC22/AA22</f>
        <v>3.3462199312714773</v>
      </c>
    </row>
    <row r="23" spans="1:31" ht="14.25" customHeight="1" x14ac:dyDescent="0.3">
      <c r="A23" s="637"/>
      <c r="B23" s="402" t="s">
        <v>34</v>
      </c>
      <c r="C23" s="403">
        <v>100</v>
      </c>
      <c r="D23" s="410">
        <v>6</v>
      </c>
      <c r="E23" s="405">
        <v>9.5</v>
      </c>
      <c r="F23" s="396"/>
      <c r="G23" s="359">
        <v>0</v>
      </c>
      <c r="H23" s="360">
        <f t="shared" si="0"/>
        <v>15.5</v>
      </c>
      <c r="I23" s="347">
        <f t="shared" si="1"/>
        <v>513</v>
      </c>
      <c r="J23" s="361">
        <f t="shared" si="7"/>
        <v>109.32124999999999</v>
      </c>
      <c r="K23" s="369">
        <v>0</v>
      </c>
      <c r="L23" s="363">
        <v>0.3</v>
      </c>
      <c r="M23" s="364">
        <f t="shared" si="4"/>
        <v>0.1</v>
      </c>
      <c r="N23" s="365"/>
      <c r="O23" s="366">
        <f t="shared" si="9"/>
        <v>622.72124999999994</v>
      </c>
      <c r="P23" s="353">
        <v>0</v>
      </c>
      <c r="Q23" s="354">
        <v>0</v>
      </c>
      <c r="R23" s="354">
        <v>0</v>
      </c>
      <c r="S23" s="354">
        <v>0</v>
      </c>
      <c r="T23" s="409">
        <f t="shared" si="10"/>
        <v>0.38709677419354838</v>
      </c>
      <c r="U23" s="409">
        <f t="shared" si="11"/>
        <v>0.61290322580645162</v>
      </c>
      <c r="V23" s="409">
        <f t="shared" si="12"/>
        <v>1</v>
      </c>
      <c r="W23" s="409">
        <f t="shared" si="13"/>
        <v>0.63157894736842102</v>
      </c>
      <c r="X23" s="409">
        <f t="shared" si="14"/>
        <v>0.36842105263157898</v>
      </c>
      <c r="Y23" s="409"/>
      <c r="AA23" s="170">
        <f t="shared" si="15"/>
        <v>6</v>
      </c>
      <c r="AB23" s="413">
        <f t="shared" si="16"/>
        <v>17.199632014719413</v>
      </c>
      <c r="AC23" s="413">
        <f t="shared" si="17"/>
        <v>20.077319587628864</v>
      </c>
      <c r="AD23" s="413">
        <f t="shared" si="18"/>
        <v>2.8666053357865686</v>
      </c>
      <c r="AE23" s="170">
        <f t="shared" si="19"/>
        <v>3.3462199312714773</v>
      </c>
    </row>
    <row r="24" spans="1:31" ht="14.25" customHeight="1" x14ac:dyDescent="0.3">
      <c r="A24" s="637"/>
      <c r="B24" s="402" t="s">
        <v>35</v>
      </c>
      <c r="C24" s="403">
        <v>100</v>
      </c>
      <c r="D24" s="410">
        <v>9.4</v>
      </c>
      <c r="E24" s="405">
        <v>11.15</v>
      </c>
      <c r="F24" s="396"/>
      <c r="G24" s="359">
        <v>0</v>
      </c>
      <c r="H24" s="360">
        <f t="shared" si="0"/>
        <v>20.55</v>
      </c>
      <c r="I24" s="347">
        <f t="shared" si="1"/>
        <v>803.7</v>
      </c>
      <c r="J24" s="361">
        <f t="shared" si="7"/>
        <v>128.30862500000001</v>
      </c>
      <c r="K24" s="369">
        <v>0</v>
      </c>
      <c r="L24" s="363">
        <v>0.3</v>
      </c>
      <c r="M24" s="364">
        <f t="shared" si="4"/>
        <v>0.1</v>
      </c>
      <c r="N24" s="365"/>
      <c r="O24" s="366">
        <f t="shared" si="9"/>
        <v>932.40862500000003</v>
      </c>
      <c r="P24" s="353">
        <v>0</v>
      </c>
      <c r="Q24" s="354">
        <v>0</v>
      </c>
      <c r="R24" s="354">
        <v>0</v>
      </c>
      <c r="S24" s="354">
        <v>0</v>
      </c>
      <c r="T24" s="409">
        <f t="shared" si="10"/>
        <v>0.45742092457420924</v>
      </c>
      <c r="U24" s="409">
        <f t="shared" si="11"/>
        <v>0.54257907542579076</v>
      </c>
      <c r="V24" s="409">
        <f t="shared" si="12"/>
        <v>1</v>
      </c>
      <c r="W24" s="409">
        <f t="shared" si="13"/>
        <v>0.84304932735426008</v>
      </c>
      <c r="X24" s="409">
        <f t="shared" si="14"/>
        <v>0.15695067264573992</v>
      </c>
      <c r="Y24" s="409"/>
      <c r="AA24" s="170">
        <f t="shared" si="15"/>
        <v>9.4</v>
      </c>
      <c r="AB24" s="413">
        <f t="shared" si="16"/>
        <v>26.946090156393744</v>
      </c>
      <c r="AC24" s="413">
        <f t="shared" si="17"/>
        <v>31.454467353951891</v>
      </c>
      <c r="AD24" s="413">
        <f t="shared" si="18"/>
        <v>2.8666053357865686</v>
      </c>
      <c r="AE24" s="170">
        <f t="shared" si="19"/>
        <v>3.3462199312714778</v>
      </c>
    </row>
    <row r="25" spans="1:31" ht="14.25" customHeight="1" x14ac:dyDescent="0.3">
      <c r="A25" s="637"/>
      <c r="B25" s="402" t="s">
        <v>36</v>
      </c>
      <c r="C25" s="403">
        <v>100</v>
      </c>
      <c r="D25" s="410">
        <v>15.6</v>
      </c>
      <c r="E25" s="405">
        <v>16.5</v>
      </c>
      <c r="F25" s="396"/>
      <c r="G25" s="359">
        <v>0</v>
      </c>
      <c r="H25" s="360">
        <f t="shared" si="0"/>
        <v>32.1</v>
      </c>
      <c r="I25" s="347">
        <f t="shared" si="1"/>
        <v>1333.8</v>
      </c>
      <c r="J25" s="361">
        <f t="shared" si="7"/>
        <v>189.87375</v>
      </c>
      <c r="K25" s="369"/>
      <c r="L25" s="363">
        <v>0.3</v>
      </c>
      <c r="M25" s="364">
        <f t="shared" si="4"/>
        <v>0.1</v>
      </c>
      <c r="N25" s="365"/>
      <c r="O25" s="366">
        <f t="shared" si="9"/>
        <v>1524.0737499999998</v>
      </c>
      <c r="P25" s="353">
        <v>0</v>
      </c>
      <c r="Q25" s="354">
        <v>0</v>
      </c>
      <c r="R25" s="354">
        <v>0</v>
      </c>
      <c r="S25" s="354">
        <v>0</v>
      </c>
      <c r="T25" s="409"/>
      <c r="U25" s="409"/>
      <c r="V25" s="409"/>
      <c r="W25" s="409"/>
      <c r="X25" s="409"/>
      <c r="Y25" s="409"/>
      <c r="AA25" s="170">
        <f t="shared" si="15"/>
        <v>15.6</v>
      </c>
      <c r="AB25" s="413">
        <f t="shared" si="16"/>
        <v>44.719043238270466</v>
      </c>
      <c r="AC25" s="413">
        <f t="shared" si="17"/>
        <v>52.201030927835049</v>
      </c>
      <c r="AD25" s="413">
        <f t="shared" si="18"/>
        <v>2.8666053357865682</v>
      </c>
      <c r="AE25" s="170">
        <f t="shared" si="19"/>
        <v>3.3462199312714778</v>
      </c>
    </row>
    <row r="26" spans="1:31" ht="14.25" customHeight="1" x14ac:dyDescent="0.3">
      <c r="A26" s="637"/>
      <c r="B26" s="415" t="s">
        <v>37</v>
      </c>
      <c r="C26" s="403">
        <v>100</v>
      </c>
      <c r="D26" s="410">
        <v>23.9</v>
      </c>
      <c r="E26" s="405">
        <v>21.5</v>
      </c>
      <c r="F26" s="396"/>
      <c r="G26" s="359">
        <v>0</v>
      </c>
      <c r="H26" s="360">
        <f t="shared" si="0"/>
        <v>45.4</v>
      </c>
      <c r="I26" s="347">
        <f t="shared" si="1"/>
        <v>2043.4499999999998</v>
      </c>
      <c r="J26" s="361">
        <f t="shared" si="7"/>
        <v>247.41125</v>
      </c>
      <c r="K26" s="369"/>
      <c r="L26" s="363">
        <v>0.3</v>
      </c>
      <c r="M26" s="364">
        <f t="shared" si="4"/>
        <v>0.1</v>
      </c>
      <c r="N26" s="365"/>
      <c r="O26" s="366">
        <f t="shared" si="9"/>
        <v>2291.26125</v>
      </c>
      <c r="P26" s="353">
        <v>0</v>
      </c>
      <c r="Q26" s="354">
        <v>0</v>
      </c>
      <c r="R26" s="354">
        <v>0</v>
      </c>
      <c r="S26" s="354">
        <v>0</v>
      </c>
      <c r="T26" s="409"/>
      <c r="U26" s="409"/>
      <c r="V26" s="409"/>
      <c r="W26" s="409"/>
      <c r="X26" s="409"/>
      <c r="Y26" s="409"/>
      <c r="AA26" s="170">
        <f t="shared" si="15"/>
        <v>23.9</v>
      </c>
      <c r="AB26" s="413">
        <f t="shared" si="16"/>
        <v>68.511867525298982</v>
      </c>
      <c r="AC26" s="413">
        <f t="shared" si="17"/>
        <v>79.974656357388312</v>
      </c>
      <c r="AD26" s="413">
        <f t="shared" si="18"/>
        <v>2.8666053357865686</v>
      </c>
      <c r="AE26" s="170">
        <f t="shared" si="19"/>
        <v>3.3462199312714778</v>
      </c>
    </row>
    <row r="27" spans="1:31" ht="14.25" customHeight="1" x14ac:dyDescent="0.3">
      <c r="A27" s="637"/>
      <c r="B27" s="415" t="s">
        <v>38</v>
      </c>
      <c r="C27" s="403">
        <v>100</v>
      </c>
      <c r="D27" s="410">
        <v>35.5</v>
      </c>
      <c r="E27" s="405">
        <v>36.799999999999997</v>
      </c>
      <c r="F27" s="396"/>
      <c r="G27" s="359">
        <v>1</v>
      </c>
      <c r="H27" s="360">
        <f t="shared" si="0"/>
        <v>73.3</v>
      </c>
      <c r="I27" s="347">
        <f t="shared" si="1"/>
        <v>3035.25</v>
      </c>
      <c r="J27" s="361">
        <f t="shared" si="7"/>
        <v>423.476</v>
      </c>
      <c r="K27" s="369"/>
      <c r="L27" s="363">
        <v>1.3</v>
      </c>
      <c r="M27" s="364">
        <f t="shared" si="4"/>
        <v>0.1</v>
      </c>
      <c r="N27" s="365"/>
      <c r="O27" s="366">
        <f t="shared" si="9"/>
        <v>3460.1260000000002</v>
      </c>
      <c r="P27" s="353"/>
      <c r="Q27" s="354"/>
      <c r="R27" s="354"/>
      <c r="S27" s="354"/>
      <c r="T27" s="409"/>
      <c r="U27" s="409"/>
      <c r="V27" s="409"/>
      <c r="W27" s="409"/>
      <c r="X27" s="409"/>
      <c r="Y27" s="409"/>
      <c r="AA27" s="170"/>
      <c r="AB27" s="413"/>
      <c r="AC27" s="413"/>
      <c r="AD27" s="413"/>
      <c r="AE27" s="170"/>
    </row>
    <row r="28" spans="1:31" ht="14.25" customHeight="1" x14ac:dyDescent="0.3">
      <c r="A28" s="637"/>
      <c r="B28" s="416" t="s">
        <v>39</v>
      </c>
      <c r="C28" s="403">
        <v>100</v>
      </c>
      <c r="D28" s="404">
        <f>D20/2*3</f>
        <v>1.7999999999999998</v>
      </c>
      <c r="E28" s="405">
        <f>D28*2.2</f>
        <v>3.96</v>
      </c>
      <c r="F28" s="396"/>
      <c r="G28" s="359">
        <v>0</v>
      </c>
      <c r="H28" s="360">
        <f t="shared" si="0"/>
        <v>5.76</v>
      </c>
      <c r="I28" s="347">
        <f t="shared" si="1"/>
        <v>153.89999999999998</v>
      </c>
      <c r="J28" s="361">
        <f t="shared" si="7"/>
        <v>45.569699999999997</v>
      </c>
      <c r="K28" s="369"/>
      <c r="L28" s="363">
        <v>0.3</v>
      </c>
      <c r="M28" s="364">
        <f t="shared" si="4"/>
        <v>0.1</v>
      </c>
      <c r="N28" s="365"/>
      <c r="O28" s="366">
        <f t="shared" si="9"/>
        <v>199.86969999999999</v>
      </c>
      <c r="P28" s="353">
        <v>0</v>
      </c>
      <c r="Q28" s="354">
        <v>0</v>
      </c>
      <c r="R28" s="354">
        <v>0</v>
      </c>
      <c r="S28" s="354">
        <v>0</v>
      </c>
      <c r="T28" s="409"/>
      <c r="U28" s="409"/>
      <c r="V28" s="409"/>
      <c r="W28" s="409"/>
      <c r="X28" s="409"/>
      <c r="Y28" s="409"/>
      <c r="AA28" s="170">
        <f t="shared" ref="AA28:AA34" si="20">D28</f>
        <v>1.7999999999999998</v>
      </c>
      <c r="AB28" s="413">
        <f t="shared" ref="AB28:AB34" si="21">AA28/$X$20</f>
        <v>5.1598896044158229</v>
      </c>
      <c r="AC28" s="413">
        <f t="shared" ref="AC28:AC34" si="22">AA28/$X$21</f>
        <v>6.0231958762886588</v>
      </c>
      <c r="AD28" s="413">
        <f t="shared" ref="AD28:AD34" si="23">AB28/AA28</f>
        <v>2.8666053357865686</v>
      </c>
      <c r="AE28" s="170">
        <f t="shared" ref="AE28:AE34" si="24">AC28/AA28</f>
        <v>3.3462199312714773</v>
      </c>
    </row>
    <row r="29" spans="1:31" ht="14.25" customHeight="1" x14ac:dyDescent="0.3">
      <c r="A29" s="637"/>
      <c r="B29" s="417" t="s">
        <v>40</v>
      </c>
      <c r="C29" s="403">
        <v>100</v>
      </c>
      <c r="D29" s="410">
        <v>3.4</v>
      </c>
      <c r="E29" s="405">
        <v>7</v>
      </c>
      <c r="F29" s="396"/>
      <c r="G29" s="359">
        <v>0</v>
      </c>
      <c r="H29" s="360">
        <f t="shared" si="0"/>
        <v>10.4</v>
      </c>
      <c r="I29" s="347">
        <f t="shared" si="1"/>
        <v>290.7</v>
      </c>
      <c r="J29" s="361">
        <f t="shared" si="7"/>
        <v>80.552500000000009</v>
      </c>
      <c r="K29" s="369">
        <v>0</v>
      </c>
      <c r="L29" s="363">
        <v>0.3</v>
      </c>
      <c r="M29" s="364">
        <f t="shared" si="4"/>
        <v>0.1</v>
      </c>
      <c r="N29" s="365"/>
      <c r="O29" s="366">
        <f t="shared" si="9"/>
        <v>371.65250000000003</v>
      </c>
      <c r="P29" s="353">
        <v>0</v>
      </c>
      <c r="Q29" s="354">
        <v>0</v>
      </c>
      <c r="R29" s="354">
        <v>0</v>
      </c>
      <c r="S29" s="354">
        <v>0</v>
      </c>
      <c r="T29" s="409"/>
      <c r="U29" s="409"/>
      <c r="V29" s="409"/>
      <c r="W29" s="409"/>
      <c r="X29" s="409"/>
      <c r="Y29" s="409"/>
      <c r="AA29" s="170">
        <f t="shared" si="20"/>
        <v>3.4</v>
      </c>
      <c r="AB29" s="413">
        <f t="shared" si="21"/>
        <v>9.7464581416743332</v>
      </c>
      <c r="AC29" s="413">
        <f t="shared" si="22"/>
        <v>11.377147766323024</v>
      </c>
      <c r="AD29" s="413">
        <f t="shared" si="23"/>
        <v>2.8666053357865686</v>
      </c>
      <c r="AE29" s="170">
        <f t="shared" si="24"/>
        <v>3.3462199312714778</v>
      </c>
    </row>
    <row r="30" spans="1:31" ht="14.25" customHeight="1" x14ac:dyDescent="0.3">
      <c r="A30" s="637"/>
      <c r="B30" s="417" t="s">
        <v>41</v>
      </c>
      <c r="C30" s="403">
        <v>100</v>
      </c>
      <c r="D30" s="410">
        <v>5.5</v>
      </c>
      <c r="E30" s="405">
        <v>8.1999999999999993</v>
      </c>
      <c r="F30" s="396"/>
      <c r="G30" s="359">
        <v>0</v>
      </c>
      <c r="H30" s="360">
        <f t="shared" si="0"/>
        <v>13.7</v>
      </c>
      <c r="I30" s="347">
        <f t="shared" si="1"/>
        <v>470.25</v>
      </c>
      <c r="J30" s="361">
        <f t="shared" si="7"/>
        <v>94.361500000000007</v>
      </c>
      <c r="K30" s="369">
        <v>0</v>
      </c>
      <c r="L30" s="363">
        <v>0.3</v>
      </c>
      <c r="M30" s="364">
        <f t="shared" si="4"/>
        <v>0.1</v>
      </c>
      <c r="N30" s="365"/>
      <c r="O30" s="366">
        <f t="shared" si="9"/>
        <v>565.01149999999996</v>
      </c>
      <c r="P30" s="353">
        <v>0</v>
      </c>
      <c r="Q30" s="354">
        <v>0</v>
      </c>
      <c r="R30" s="354">
        <v>0</v>
      </c>
      <c r="S30" s="354">
        <v>0</v>
      </c>
      <c r="T30" s="409">
        <f>D30/H30</f>
        <v>0.40145985401459855</v>
      </c>
      <c r="U30" s="409">
        <f>E30/H30</f>
        <v>0.5985401459854014</v>
      </c>
      <c r="V30" s="409">
        <f>T30+U30</f>
        <v>1</v>
      </c>
      <c r="W30" s="409">
        <f>T30/U30</f>
        <v>0.67073170731707321</v>
      </c>
      <c r="X30" s="409">
        <f>V30-W30</f>
        <v>0.32926829268292679</v>
      </c>
      <c r="Y30" s="409"/>
      <c r="AA30" s="170">
        <f t="shared" si="20"/>
        <v>5.5</v>
      </c>
      <c r="AB30" s="413">
        <f t="shared" si="21"/>
        <v>15.766329346826128</v>
      </c>
      <c r="AC30" s="413">
        <f t="shared" si="22"/>
        <v>18.404209621993125</v>
      </c>
      <c r="AD30" s="413">
        <f t="shared" si="23"/>
        <v>2.8666053357865686</v>
      </c>
      <c r="AE30" s="170">
        <f t="shared" si="24"/>
        <v>3.3462199312714773</v>
      </c>
    </row>
    <row r="31" spans="1:31" ht="14.25" customHeight="1" x14ac:dyDescent="0.3">
      <c r="A31" s="637"/>
      <c r="B31" s="417" t="s">
        <v>42</v>
      </c>
      <c r="C31" s="403">
        <v>100</v>
      </c>
      <c r="D31" s="410">
        <v>9.1</v>
      </c>
      <c r="E31" s="405">
        <v>10.210000000000001</v>
      </c>
      <c r="F31" s="396"/>
      <c r="G31" s="359">
        <v>0</v>
      </c>
      <c r="H31" s="360">
        <f t="shared" si="0"/>
        <v>19.310000000000002</v>
      </c>
      <c r="I31" s="347">
        <f t="shared" si="1"/>
        <v>778.05</v>
      </c>
      <c r="J31" s="361">
        <f t="shared" si="7"/>
        <v>117.49157500000001</v>
      </c>
      <c r="K31" s="362"/>
      <c r="L31" s="363">
        <v>0.3</v>
      </c>
      <c r="M31" s="364">
        <f t="shared" si="4"/>
        <v>0.1</v>
      </c>
      <c r="N31" s="365"/>
      <c r="O31" s="366">
        <f t="shared" si="9"/>
        <v>895.94157499999994</v>
      </c>
      <c r="P31" s="353">
        <v>0</v>
      </c>
      <c r="Q31" s="354">
        <v>0</v>
      </c>
      <c r="R31" s="354">
        <v>0</v>
      </c>
      <c r="S31" s="354">
        <v>0</v>
      </c>
      <c r="T31" s="409"/>
      <c r="U31" s="409"/>
      <c r="V31" s="409"/>
      <c r="AA31" s="170">
        <f t="shared" si="20"/>
        <v>9.1</v>
      </c>
      <c r="AB31" s="413">
        <f t="shared" si="21"/>
        <v>26.086108555657773</v>
      </c>
      <c r="AC31" s="413">
        <f t="shared" si="22"/>
        <v>30.450601374570446</v>
      </c>
      <c r="AD31" s="413">
        <f t="shared" si="23"/>
        <v>2.8666053357865686</v>
      </c>
      <c r="AE31" s="170">
        <f t="shared" si="24"/>
        <v>3.3462199312714778</v>
      </c>
    </row>
    <row r="32" spans="1:31" ht="14.25" customHeight="1" x14ac:dyDescent="0.3">
      <c r="A32" s="637"/>
      <c r="B32" s="417" t="s">
        <v>43</v>
      </c>
      <c r="C32" s="403">
        <v>100</v>
      </c>
      <c r="D32" s="410">
        <v>14.3</v>
      </c>
      <c r="E32" s="405">
        <v>11</v>
      </c>
      <c r="F32" s="396"/>
      <c r="G32" s="359">
        <v>0</v>
      </c>
      <c r="H32" s="360">
        <f t="shared" si="0"/>
        <v>25.3</v>
      </c>
      <c r="I32" s="347">
        <f t="shared" si="1"/>
        <v>1222.6500000000001</v>
      </c>
      <c r="J32" s="361">
        <f t="shared" si="7"/>
        <v>126.5825</v>
      </c>
      <c r="K32" s="362"/>
      <c r="L32" s="363">
        <v>0.3</v>
      </c>
      <c r="M32" s="364">
        <f t="shared" si="4"/>
        <v>0.1</v>
      </c>
      <c r="N32" s="365"/>
      <c r="O32" s="366">
        <f t="shared" si="9"/>
        <v>1349.6324999999999</v>
      </c>
      <c r="P32" s="353">
        <v>0</v>
      </c>
      <c r="Q32" s="354">
        <v>0</v>
      </c>
      <c r="R32" s="354">
        <v>0</v>
      </c>
      <c r="S32" s="354">
        <v>0</v>
      </c>
      <c r="T32" s="409"/>
      <c r="U32" s="409"/>
      <c r="V32" s="409"/>
      <c r="AA32" s="170">
        <f t="shared" si="20"/>
        <v>14.3</v>
      </c>
      <c r="AB32" s="413">
        <f t="shared" si="21"/>
        <v>40.992456301747936</v>
      </c>
      <c r="AC32" s="413">
        <f t="shared" si="22"/>
        <v>47.850945017182134</v>
      </c>
      <c r="AD32" s="413">
        <f t="shared" si="23"/>
        <v>2.8666053357865686</v>
      </c>
      <c r="AE32" s="170">
        <f t="shared" si="24"/>
        <v>3.3462199312714778</v>
      </c>
    </row>
    <row r="33" spans="1:31" ht="15" customHeight="1" x14ac:dyDescent="0.3">
      <c r="A33" s="637"/>
      <c r="B33" s="417" t="s">
        <v>44</v>
      </c>
      <c r="C33" s="403">
        <v>100</v>
      </c>
      <c r="D33" s="410">
        <v>24</v>
      </c>
      <c r="E33" s="405">
        <v>15.5</v>
      </c>
      <c r="F33" s="396"/>
      <c r="G33" s="359">
        <v>0</v>
      </c>
      <c r="H33" s="360">
        <f t="shared" si="0"/>
        <v>39.5</v>
      </c>
      <c r="I33" s="347">
        <f t="shared" si="1"/>
        <v>2052</v>
      </c>
      <c r="J33" s="361">
        <f t="shared" si="7"/>
        <v>178.36625000000001</v>
      </c>
      <c r="K33" s="362"/>
      <c r="L33" s="363">
        <v>0.3</v>
      </c>
      <c r="M33" s="364">
        <f t="shared" si="4"/>
        <v>0.1</v>
      </c>
      <c r="N33" s="365"/>
      <c r="O33" s="366">
        <f t="shared" si="9"/>
        <v>2230.7662500000001</v>
      </c>
      <c r="P33" s="353">
        <v>0</v>
      </c>
      <c r="Q33" s="354">
        <v>0</v>
      </c>
      <c r="R33" s="354">
        <v>0</v>
      </c>
      <c r="S33" s="354">
        <v>0</v>
      </c>
      <c r="T33" s="409"/>
      <c r="U33" s="409"/>
      <c r="V33" s="409"/>
      <c r="AA33" s="170">
        <f t="shared" si="20"/>
        <v>24</v>
      </c>
      <c r="AB33" s="413">
        <f t="shared" si="21"/>
        <v>68.79852805887765</v>
      </c>
      <c r="AC33" s="413">
        <f t="shared" si="22"/>
        <v>80.309278350515456</v>
      </c>
      <c r="AD33" s="413">
        <f t="shared" si="23"/>
        <v>2.8666053357865686</v>
      </c>
      <c r="AE33" s="170">
        <f t="shared" si="24"/>
        <v>3.3462199312714773</v>
      </c>
    </row>
    <row r="34" spans="1:31" ht="14.25" customHeight="1" x14ac:dyDescent="0.3">
      <c r="A34" s="637"/>
      <c r="B34" s="417" t="s">
        <v>45</v>
      </c>
      <c r="C34" s="403">
        <v>100</v>
      </c>
      <c r="D34" s="410">
        <v>35.799999999999997</v>
      </c>
      <c r="E34" s="405">
        <v>23</v>
      </c>
      <c r="F34" s="396"/>
      <c r="G34" s="359">
        <v>0</v>
      </c>
      <c r="H34" s="360">
        <f t="shared" si="0"/>
        <v>58.8</v>
      </c>
      <c r="I34" s="347">
        <f t="shared" si="1"/>
        <v>3060.8999999999996</v>
      </c>
      <c r="J34" s="361">
        <f t="shared" si="7"/>
        <v>264.67250000000001</v>
      </c>
      <c r="K34" s="362"/>
      <c r="L34" s="363">
        <v>0.3</v>
      </c>
      <c r="M34" s="364">
        <f t="shared" si="4"/>
        <v>0.1</v>
      </c>
      <c r="N34" s="365"/>
      <c r="O34" s="366">
        <f t="shared" si="9"/>
        <v>3325.9724999999999</v>
      </c>
      <c r="P34" s="353">
        <v>0</v>
      </c>
      <c r="Q34" s="354">
        <v>0</v>
      </c>
      <c r="R34" s="354">
        <v>0</v>
      </c>
      <c r="S34" s="354">
        <v>0</v>
      </c>
      <c r="T34" s="409"/>
      <c r="U34" s="409"/>
      <c r="V34" s="409"/>
      <c r="AA34" s="170">
        <f t="shared" si="20"/>
        <v>35.799999999999997</v>
      </c>
      <c r="AB34" s="413">
        <f t="shared" si="21"/>
        <v>102.62447102115915</v>
      </c>
      <c r="AC34" s="413">
        <f t="shared" si="22"/>
        <v>119.79467353951888</v>
      </c>
      <c r="AD34" s="413">
        <f t="shared" si="23"/>
        <v>2.8666053357865686</v>
      </c>
      <c r="AE34" s="170">
        <f t="shared" si="24"/>
        <v>3.3462199312714773</v>
      </c>
    </row>
    <row r="35" spans="1:31" ht="14.25" customHeight="1" x14ac:dyDescent="0.3">
      <c r="A35" s="637"/>
      <c r="B35" s="418" t="s">
        <v>46</v>
      </c>
      <c r="C35" s="403">
        <v>100</v>
      </c>
      <c r="D35" s="410">
        <v>53.1</v>
      </c>
      <c r="E35" s="405">
        <v>37.5</v>
      </c>
      <c r="F35" s="396"/>
      <c r="G35" s="359">
        <v>1</v>
      </c>
      <c r="H35" s="360">
        <f t="shared" si="0"/>
        <v>91.6</v>
      </c>
      <c r="I35" s="347">
        <f t="shared" si="1"/>
        <v>4540.05</v>
      </c>
      <c r="J35" s="361">
        <f t="shared" si="7"/>
        <v>431.53125</v>
      </c>
      <c r="K35" s="362"/>
      <c r="L35" s="363">
        <v>1.3</v>
      </c>
      <c r="M35" s="364">
        <f t="shared" si="4"/>
        <v>0.1</v>
      </c>
      <c r="N35" s="365"/>
      <c r="O35" s="366">
        <f t="shared" si="9"/>
        <v>4972.9812500000007</v>
      </c>
      <c r="P35" s="353"/>
      <c r="Q35" s="354"/>
      <c r="R35" s="354"/>
      <c r="S35" s="354"/>
      <c r="T35" s="409"/>
      <c r="U35" s="409"/>
      <c r="V35" s="409"/>
      <c r="AA35" s="170"/>
      <c r="AB35" s="413"/>
      <c r="AC35" s="413"/>
      <c r="AD35" s="413"/>
      <c r="AE35" s="170"/>
    </row>
    <row r="36" spans="1:31" ht="14.25" customHeight="1" x14ac:dyDescent="0.3">
      <c r="A36" s="637"/>
      <c r="B36" s="419" t="s">
        <v>47</v>
      </c>
      <c r="C36" s="403">
        <v>100</v>
      </c>
      <c r="D36" s="404">
        <f t="shared" ref="D36:D37" si="25">D28/3*4</f>
        <v>2.4</v>
      </c>
      <c r="E36" s="405">
        <f>D36*2.2</f>
        <v>5.28</v>
      </c>
      <c r="F36" s="396"/>
      <c r="G36" s="359">
        <v>0</v>
      </c>
      <c r="H36" s="360">
        <f t="shared" si="0"/>
        <v>7.68</v>
      </c>
      <c r="I36" s="347">
        <f t="shared" si="1"/>
        <v>205.2</v>
      </c>
      <c r="J36" s="361">
        <f t="shared" si="7"/>
        <v>60.759600000000006</v>
      </c>
      <c r="K36" s="362"/>
      <c r="L36" s="363">
        <v>0.3</v>
      </c>
      <c r="M36" s="364">
        <f t="shared" si="4"/>
        <v>0.1</v>
      </c>
      <c r="N36" s="365"/>
      <c r="O36" s="366">
        <f t="shared" si="9"/>
        <v>266.35960000000006</v>
      </c>
      <c r="P36" s="353">
        <v>0</v>
      </c>
      <c r="Q36" s="354">
        <v>0</v>
      </c>
      <c r="R36" s="354">
        <v>0</v>
      </c>
      <c r="S36" s="354">
        <v>0</v>
      </c>
      <c r="T36" s="409"/>
      <c r="U36" s="409"/>
      <c r="V36" s="409"/>
      <c r="AA36" s="170">
        <f t="shared" ref="AA36:AA51" si="26">D36</f>
        <v>2.4</v>
      </c>
      <c r="AB36" s="413">
        <f t="shared" ref="AB36:AB64" si="27">AA36/$X$20</f>
        <v>6.8798528058877642</v>
      </c>
      <c r="AC36" s="413">
        <f t="shared" ref="AC36:AC64" si="28">AA36/$X$21</f>
        <v>8.0309278350515463</v>
      </c>
      <c r="AD36" s="413">
        <f t="shared" ref="AD36:AD64" si="29">AB36/AA36</f>
        <v>2.8666053357865686</v>
      </c>
      <c r="AE36" s="170">
        <f t="shared" ref="AE36:AE64" si="30">AC36/AA36</f>
        <v>3.3462199312714778</v>
      </c>
    </row>
    <row r="37" spans="1:31" ht="14.25" customHeight="1" x14ac:dyDescent="0.3">
      <c r="A37" s="637"/>
      <c r="B37" s="420" t="s">
        <v>48</v>
      </c>
      <c r="C37" s="403">
        <v>100</v>
      </c>
      <c r="D37" s="410">
        <f t="shared" si="25"/>
        <v>4.5333333333333332</v>
      </c>
      <c r="E37" s="405">
        <v>8</v>
      </c>
      <c r="F37" s="396"/>
      <c r="G37" s="359">
        <v>0</v>
      </c>
      <c r="H37" s="360">
        <f t="shared" si="0"/>
        <v>12.533333333333333</v>
      </c>
      <c r="I37" s="347">
        <f t="shared" si="1"/>
        <v>387.59999999999997</v>
      </c>
      <c r="J37" s="361">
        <f t="shared" si="7"/>
        <v>92.06</v>
      </c>
      <c r="K37" s="362"/>
      <c r="L37" s="363">
        <v>0.3</v>
      </c>
      <c r="M37" s="364">
        <f t="shared" si="4"/>
        <v>0.1</v>
      </c>
      <c r="N37" s="365"/>
      <c r="O37" s="366">
        <f t="shared" si="9"/>
        <v>480.06</v>
      </c>
      <c r="P37" s="353">
        <v>0</v>
      </c>
      <c r="Q37" s="354">
        <v>0</v>
      </c>
      <c r="R37" s="354">
        <v>0</v>
      </c>
      <c r="S37" s="354">
        <v>0</v>
      </c>
      <c r="T37" s="409"/>
      <c r="U37" s="409"/>
      <c r="V37" s="409"/>
      <c r="AA37" s="170">
        <f t="shared" si="26"/>
        <v>4.5333333333333332</v>
      </c>
      <c r="AB37" s="413">
        <f t="shared" si="27"/>
        <v>12.995277522232444</v>
      </c>
      <c r="AC37" s="413">
        <f t="shared" si="28"/>
        <v>15.169530355097365</v>
      </c>
      <c r="AD37" s="413">
        <f t="shared" si="29"/>
        <v>2.8666053357865686</v>
      </c>
      <c r="AE37" s="170">
        <f t="shared" si="30"/>
        <v>3.3462199312714778</v>
      </c>
    </row>
    <row r="38" spans="1:31" ht="14.25" customHeight="1" x14ac:dyDescent="0.3">
      <c r="A38" s="637"/>
      <c r="B38" s="420" t="s">
        <v>49</v>
      </c>
      <c r="C38" s="403">
        <v>100</v>
      </c>
      <c r="D38" s="410">
        <v>7.2</v>
      </c>
      <c r="E38" s="405">
        <v>9.5</v>
      </c>
      <c r="F38" s="396"/>
      <c r="G38" s="359">
        <v>0</v>
      </c>
      <c r="H38" s="360">
        <f t="shared" si="0"/>
        <v>16.7</v>
      </c>
      <c r="I38" s="347">
        <f t="shared" si="1"/>
        <v>615.6</v>
      </c>
      <c r="J38" s="361">
        <f t="shared" si="7"/>
        <v>109.32124999999999</v>
      </c>
      <c r="K38" s="362"/>
      <c r="L38" s="363">
        <v>0.3</v>
      </c>
      <c r="M38" s="364">
        <f t="shared" si="4"/>
        <v>0.1</v>
      </c>
      <c r="N38" s="365"/>
      <c r="O38" s="366">
        <f t="shared" si="9"/>
        <v>725.32124999999996</v>
      </c>
      <c r="P38" s="353">
        <v>0</v>
      </c>
      <c r="Q38" s="354">
        <v>0</v>
      </c>
      <c r="R38" s="354">
        <v>0</v>
      </c>
      <c r="S38" s="354">
        <v>0</v>
      </c>
      <c r="T38" s="409"/>
      <c r="U38" s="409"/>
      <c r="V38" s="409"/>
      <c r="AA38" s="170">
        <f t="shared" si="26"/>
        <v>7.2</v>
      </c>
      <c r="AB38" s="413">
        <f t="shared" si="27"/>
        <v>20.639558417663295</v>
      </c>
      <c r="AC38" s="413">
        <f t="shared" si="28"/>
        <v>24.092783505154639</v>
      </c>
      <c r="AD38" s="413">
        <f t="shared" si="29"/>
        <v>2.8666053357865686</v>
      </c>
      <c r="AE38" s="170">
        <f t="shared" si="30"/>
        <v>3.3462199312714773</v>
      </c>
    </row>
    <row r="39" spans="1:31" ht="14.25" customHeight="1" x14ac:dyDescent="0.3">
      <c r="A39" s="637"/>
      <c r="B39" s="420" t="s">
        <v>51</v>
      </c>
      <c r="C39" s="403">
        <v>100</v>
      </c>
      <c r="D39" s="410">
        <v>12.5</v>
      </c>
      <c r="E39" s="405">
        <v>11</v>
      </c>
      <c r="F39" s="396"/>
      <c r="G39" s="359">
        <v>0</v>
      </c>
      <c r="H39" s="360">
        <f t="shared" si="0"/>
        <v>23.5</v>
      </c>
      <c r="I39" s="347">
        <f t="shared" si="1"/>
        <v>1068.75</v>
      </c>
      <c r="J39" s="361">
        <f t="shared" si="7"/>
        <v>126.5825</v>
      </c>
      <c r="K39" s="362"/>
      <c r="L39" s="363">
        <v>0.3</v>
      </c>
      <c r="M39" s="364">
        <f t="shared" si="4"/>
        <v>0.1</v>
      </c>
      <c r="N39" s="365"/>
      <c r="O39" s="366">
        <f t="shared" si="9"/>
        <v>1195.7324999999998</v>
      </c>
      <c r="P39" s="353"/>
      <c r="Q39" s="354"/>
      <c r="R39" s="354"/>
      <c r="S39" s="354"/>
      <c r="T39" s="409"/>
      <c r="U39" s="409"/>
      <c r="V39" s="409"/>
      <c r="AA39" s="170">
        <f t="shared" si="26"/>
        <v>12.5</v>
      </c>
      <c r="AB39" s="413">
        <f t="shared" si="27"/>
        <v>35.832566697332105</v>
      </c>
      <c r="AC39" s="413">
        <f t="shared" si="28"/>
        <v>41.827749140893467</v>
      </c>
      <c r="AD39" s="413">
        <f t="shared" si="29"/>
        <v>2.8666053357865682</v>
      </c>
      <c r="AE39" s="170">
        <f t="shared" si="30"/>
        <v>3.3462199312714773</v>
      </c>
    </row>
    <row r="40" spans="1:31" ht="14.25" customHeight="1" x14ac:dyDescent="0.3">
      <c r="A40" s="637"/>
      <c r="B40" s="420" t="s">
        <v>53</v>
      </c>
      <c r="C40" s="403">
        <v>100</v>
      </c>
      <c r="D40" s="421">
        <v>19</v>
      </c>
      <c r="E40" s="405">
        <v>16</v>
      </c>
      <c r="F40" s="396"/>
      <c r="G40" s="359">
        <v>0</v>
      </c>
      <c r="H40" s="360">
        <f t="shared" si="0"/>
        <v>35</v>
      </c>
      <c r="I40" s="347">
        <f t="shared" si="1"/>
        <v>1624.5</v>
      </c>
      <c r="J40" s="361">
        <f t="shared" si="7"/>
        <v>184.12</v>
      </c>
      <c r="K40" s="362"/>
      <c r="L40" s="363">
        <v>0.3</v>
      </c>
      <c r="M40" s="364">
        <f t="shared" si="4"/>
        <v>0.1</v>
      </c>
      <c r="N40" s="365"/>
      <c r="O40" s="366">
        <f t="shared" si="9"/>
        <v>1809.0199999999998</v>
      </c>
      <c r="P40" s="353"/>
      <c r="Q40" s="354"/>
      <c r="R40" s="354"/>
      <c r="S40" s="354"/>
      <c r="T40" s="409"/>
      <c r="U40" s="409"/>
      <c r="V40" s="409"/>
      <c r="AA40" s="413">
        <f t="shared" si="26"/>
        <v>19</v>
      </c>
      <c r="AB40" s="413">
        <f t="shared" si="27"/>
        <v>54.465501379944804</v>
      </c>
      <c r="AC40" s="413">
        <f t="shared" si="28"/>
        <v>63.578178694158076</v>
      </c>
      <c r="AD40" s="413">
        <f t="shared" si="29"/>
        <v>2.8666053357865686</v>
      </c>
      <c r="AE40" s="170">
        <f t="shared" si="30"/>
        <v>3.3462199312714778</v>
      </c>
    </row>
    <row r="41" spans="1:31" ht="14.25" customHeight="1" x14ac:dyDescent="0.3">
      <c r="A41" s="637"/>
      <c r="B41" s="420" t="s">
        <v>55</v>
      </c>
      <c r="C41" s="403">
        <v>100</v>
      </c>
      <c r="D41" s="410">
        <v>32</v>
      </c>
      <c r="E41" s="405">
        <v>19</v>
      </c>
      <c r="F41" s="396"/>
      <c r="G41" s="359">
        <v>0</v>
      </c>
      <c r="H41" s="360">
        <f t="shared" si="0"/>
        <v>51</v>
      </c>
      <c r="I41" s="347">
        <f t="shared" si="1"/>
        <v>2736</v>
      </c>
      <c r="J41" s="361">
        <f t="shared" si="7"/>
        <v>218.64249999999998</v>
      </c>
      <c r="K41" s="362"/>
      <c r="L41" s="363">
        <v>0.3</v>
      </c>
      <c r="M41" s="364">
        <f t="shared" si="4"/>
        <v>0.1</v>
      </c>
      <c r="N41" s="365"/>
      <c r="O41" s="366">
        <f t="shared" si="9"/>
        <v>2955.0425</v>
      </c>
      <c r="P41" s="353"/>
      <c r="Q41" s="354"/>
      <c r="R41" s="354"/>
      <c r="S41" s="354"/>
      <c r="T41" s="409"/>
      <c r="U41" s="409"/>
      <c r="V41" s="409"/>
      <c r="AA41" s="170">
        <f t="shared" si="26"/>
        <v>32</v>
      </c>
      <c r="AB41" s="413">
        <f t="shared" si="27"/>
        <v>91.731370745170196</v>
      </c>
      <c r="AC41" s="413">
        <f t="shared" si="28"/>
        <v>107.07903780068729</v>
      </c>
      <c r="AD41" s="413">
        <f t="shared" si="29"/>
        <v>2.8666053357865686</v>
      </c>
      <c r="AE41" s="170">
        <f t="shared" si="30"/>
        <v>3.3462199312714778</v>
      </c>
    </row>
    <row r="42" spans="1:31" ht="14.25" customHeight="1" x14ac:dyDescent="0.3">
      <c r="A42" s="637"/>
      <c r="B42" s="422" t="s">
        <v>57</v>
      </c>
      <c r="C42" s="403">
        <v>100</v>
      </c>
      <c r="D42" s="410">
        <v>48</v>
      </c>
      <c r="E42" s="405">
        <v>30</v>
      </c>
      <c r="F42" s="396"/>
      <c r="G42" s="359">
        <v>0</v>
      </c>
      <c r="H42" s="360">
        <f t="shared" si="0"/>
        <v>78</v>
      </c>
      <c r="I42" s="347">
        <f t="shared" si="1"/>
        <v>4104</v>
      </c>
      <c r="J42" s="361">
        <f t="shared" si="7"/>
        <v>345.22500000000002</v>
      </c>
      <c r="K42" s="362"/>
      <c r="L42" s="363">
        <v>0.3</v>
      </c>
      <c r="M42" s="364">
        <f t="shared" si="4"/>
        <v>0.1</v>
      </c>
      <c r="N42" s="365"/>
      <c r="O42" s="366">
        <f t="shared" si="9"/>
        <v>4449.6250000000009</v>
      </c>
      <c r="P42" s="353"/>
      <c r="Q42" s="354"/>
      <c r="R42" s="354"/>
      <c r="S42" s="354"/>
      <c r="T42" s="409"/>
      <c r="U42" s="409"/>
      <c r="V42" s="409"/>
      <c r="AA42" s="170">
        <f t="shared" si="26"/>
        <v>48</v>
      </c>
      <c r="AB42" s="413">
        <f t="shared" si="27"/>
        <v>137.5970561177553</v>
      </c>
      <c r="AC42" s="413">
        <f t="shared" si="28"/>
        <v>160.61855670103091</v>
      </c>
      <c r="AD42" s="413">
        <f t="shared" si="29"/>
        <v>2.8666053357865686</v>
      </c>
      <c r="AE42" s="170">
        <f t="shared" si="30"/>
        <v>3.3462199312714773</v>
      </c>
    </row>
    <row r="43" spans="1:31" ht="14.25" customHeight="1" x14ac:dyDescent="0.3">
      <c r="A43" s="637"/>
      <c r="B43" s="423" t="s">
        <v>59</v>
      </c>
      <c r="C43" s="403">
        <v>100</v>
      </c>
      <c r="D43" s="404">
        <f>D36/4*5</f>
        <v>3</v>
      </c>
      <c r="E43" s="405">
        <f>D43*2.2</f>
        <v>6.6000000000000005</v>
      </c>
      <c r="F43" s="396"/>
      <c r="G43" s="359">
        <v>0</v>
      </c>
      <c r="H43" s="360">
        <f t="shared" si="0"/>
        <v>9.6000000000000014</v>
      </c>
      <c r="I43" s="347">
        <f t="shared" si="1"/>
        <v>256.5</v>
      </c>
      <c r="J43" s="361">
        <f t="shared" si="7"/>
        <v>75.949500000000015</v>
      </c>
      <c r="K43" s="362"/>
      <c r="L43" s="363">
        <v>0.3</v>
      </c>
      <c r="M43" s="364">
        <f t="shared" si="4"/>
        <v>0.1</v>
      </c>
      <c r="N43" s="365"/>
      <c r="O43" s="366">
        <f t="shared" si="9"/>
        <v>332.84950000000003</v>
      </c>
      <c r="P43" s="353">
        <v>0</v>
      </c>
      <c r="Q43" s="354">
        <v>0</v>
      </c>
      <c r="R43" s="354">
        <v>0</v>
      </c>
      <c r="S43" s="354">
        <v>0</v>
      </c>
      <c r="T43" s="409"/>
      <c r="U43" s="409"/>
      <c r="V43" s="409"/>
      <c r="AA43" s="170">
        <f t="shared" si="26"/>
        <v>3</v>
      </c>
      <c r="AB43" s="413">
        <f t="shared" si="27"/>
        <v>8.5998160073597063</v>
      </c>
      <c r="AC43" s="413">
        <f t="shared" si="28"/>
        <v>10.038659793814432</v>
      </c>
      <c r="AD43" s="413">
        <f t="shared" si="29"/>
        <v>2.8666053357865686</v>
      </c>
      <c r="AE43" s="170">
        <f t="shared" si="30"/>
        <v>3.3462199312714773</v>
      </c>
    </row>
    <row r="44" spans="1:31" ht="14.25" customHeight="1" x14ac:dyDescent="0.3">
      <c r="A44" s="637"/>
      <c r="B44" s="424" t="s">
        <v>61</v>
      </c>
      <c r="C44" s="403">
        <v>100</v>
      </c>
      <c r="D44" s="410">
        <v>5.6</v>
      </c>
      <c r="E44" s="405">
        <v>9.9</v>
      </c>
      <c r="F44" s="396"/>
      <c r="G44" s="359">
        <v>0</v>
      </c>
      <c r="H44" s="360">
        <f t="shared" si="0"/>
        <v>15.5</v>
      </c>
      <c r="I44" s="347">
        <f t="shared" si="1"/>
        <v>478.79999999999995</v>
      </c>
      <c r="J44" s="361">
        <f t="shared" si="7"/>
        <v>113.92425</v>
      </c>
      <c r="K44" s="362"/>
      <c r="L44" s="363">
        <v>0.3</v>
      </c>
      <c r="M44" s="364">
        <f t="shared" si="4"/>
        <v>0.1</v>
      </c>
      <c r="N44" s="365"/>
      <c r="O44" s="366">
        <f t="shared" si="9"/>
        <v>593.12424999999996</v>
      </c>
      <c r="P44" s="353">
        <v>0</v>
      </c>
      <c r="Q44" s="354">
        <v>0</v>
      </c>
      <c r="R44" s="354">
        <v>0</v>
      </c>
      <c r="S44" s="354">
        <v>0</v>
      </c>
      <c r="T44" s="409"/>
      <c r="U44" s="409"/>
      <c r="V44" s="409"/>
      <c r="AA44" s="170">
        <f t="shared" si="26"/>
        <v>5.6</v>
      </c>
      <c r="AB44" s="413">
        <f t="shared" si="27"/>
        <v>16.052989880404784</v>
      </c>
      <c r="AC44" s="413">
        <f t="shared" si="28"/>
        <v>18.738831615120272</v>
      </c>
      <c r="AD44" s="413">
        <f t="shared" si="29"/>
        <v>2.8666053357865686</v>
      </c>
      <c r="AE44" s="170">
        <f t="shared" si="30"/>
        <v>3.3462199312714773</v>
      </c>
    </row>
    <row r="45" spans="1:31" ht="14.25" customHeight="1" x14ac:dyDescent="0.3">
      <c r="A45" s="637"/>
      <c r="B45" s="425" t="s">
        <v>63</v>
      </c>
      <c r="C45" s="403">
        <v>100</v>
      </c>
      <c r="D45" s="410">
        <f>D38/4*5</f>
        <v>9</v>
      </c>
      <c r="E45" s="405">
        <v>13.5</v>
      </c>
      <c r="F45" s="396"/>
      <c r="G45" s="359">
        <v>0</v>
      </c>
      <c r="H45" s="360">
        <f t="shared" si="0"/>
        <v>22.5</v>
      </c>
      <c r="I45" s="347">
        <f t="shared" si="1"/>
        <v>769.5</v>
      </c>
      <c r="J45" s="361">
        <f t="shared" si="7"/>
        <v>155.35124999999999</v>
      </c>
      <c r="K45" s="362"/>
      <c r="L45" s="363">
        <v>0.3</v>
      </c>
      <c r="M45" s="364">
        <f t="shared" si="4"/>
        <v>0.1</v>
      </c>
      <c r="N45" s="365"/>
      <c r="O45" s="366">
        <f t="shared" si="9"/>
        <v>925.25124999999991</v>
      </c>
      <c r="P45" s="353">
        <v>0</v>
      </c>
      <c r="Q45" s="354">
        <v>0</v>
      </c>
      <c r="R45" s="354">
        <v>0</v>
      </c>
      <c r="S45" s="354">
        <v>0</v>
      </c>
      <c r="T45" s="409"/>
      <c r="U45" s="409"/>
      <c r="V45" s="409"/>
      <c r="AA45" s="170">
        <f t="shared" si="26"/>
        <v>9</v>
      </c>
      <c r="AB45" s="413">
        <f t="shared" si="27"/>
        <v>25.799448022079115</v>
      </c>
      <c r="AC45" s="413">
        <f t="shared" si="28"/>
        <v>30.115979381443299</v>
      </c>
      <c r="AD45" s="413">
        <f t="shared" si="29"/>
        <v>2.8666053357865682</v>
      </c>
      <c r="AE45" s="170">
        <f t="shared" si="30"/>
        <v>3.3462199312714778</v>
      </c>
    </row>
    <row r="46" spans="1:31" ht="14.25" customHeight="1" x14ac:dyDescent="0.3">
      <c r="A46" s="637"/>
      <c r="B46" s="426" t="s">
        <v>65</v>
      </c>
      <c r="C46" s="403">
        <v>100</v>
      </c>
      <c r="D46" s="404">
        <f t="shared" ref="D46:D48" si="31">D43/5*6</f>
        <v>3.5999999999999996</v>
      </c>
      <c r="E46" s="405">
        <v>9.3000000000000007</v>
      </c>
      <c r="F46" s="396"/>
      <c r="G46" s="359">
        <v>0</v>
      </c>
      <c r="H46" s="360">
        <f t="shared" si="0"/>
        <v>12.9</v>
      </c>
      <c r="I46" s="347">
        <f t="shared" si="1"/>
        <v>307.79999999999995</v>
      </c>
      <c r="J46" s="361">
        <f t="shared" si="7"/>
        <v>107.01975000000002</v>
      </c>
      <c r="K46" s="362"/>
      <c r="L46" s="363">
        <v>0.3</v>
      </c>
      <c r="M46" s="364">
        <f t="shared" si="4"/>
        <v>0.1</v>
      </c>
      <c r="N46" s="365"/>
      <c r="O46" s="366">
        <f t="shared" si="9"/>
        <v>415.21975000000003</v>
      </c>
      <c r="P46" s="353">
        <v>0</v>
      </c>
      <c r="Q46" s="354">
        <v>0</v>
      </c>
      <c r="R46" s="354">
        <v>0</v>
      </c>
      <c r="S46" s="354">
        <v>0</v>
      </c>
      <c r="T46" s="409"/>
      <c r="U46" s="409"/>
      <c r="V46" s="409"/>
      <c r="AA46" s="170">
        <f t="shared" si="26"/>
        <v>3.5999999999999996</v>
      </c>
      <c r="AB46" s="413">
        <f t="shared" si="27"/>
        <v>10.319779208831646</v>
      </c>
      <c r="AC46" s="413">
        <f t="shared" si="28"/>
        <v>12.046391752577318</v>
      </c>
      <c r="AD46" s="413">
        <f t="shared" si="29"/>
        <v>2.8666053357865686</v>
      </c>
      <c r="AE46" s="170">
        <f t="shared" si="30"/>
        <v>3.3462199312714773</v>
      </c>
    </row>
    <row r="47" spans="1:31" ht="14.25" customHeight="1" x14ac:dyDescent="0.3">
      <c r="A47" s="637"/>
      <c r="B47" s="427" t="s">
        <v>67</v>
      </c>
      <c r="C47" s="403">
        <v>100</v>
      </c>
      <c r="D47" s="410">
        <f t="shared" si="31"/>
        <v>6.7199999999999989</v>
      </c>
      <c r="E47" s="405">
        <v>11</v>
      </c>
      <c r="F47" s="396"/>
      <c r="G47" s="359">
        <v>0</v>
      </c>
      <c r="H47" s="360">
        <f t="shared" si="0"/>
        <v>17.72</v>
      </c>
      <c r="I47" s="347">
        <f t="shared" si="1"/>
        <v>574.55999999999995</v>
      </c>
      <c r="J47" s="361">
        <f t="shared" si="7"/>
        <v>126.5825</v>
      </c>
      <c r="K47" s="362"/>
      <c r="L47" s="363">
        <v>0.3</v>
      </c>
      <c r="M47" s="364">
        <f t="shared" si="4"/>
        <v>0.1</v>
      </c>
      <c r="N47" s="365"/>
      <c r="O47" s="366">
        <f t="shared" si="9"/>
        <v>701.5424999999999</v>
      </c>
      <c r="P47" s="353">
        <v>0</v>
      </c>
      <c r="Q47" s="354">
        <v>0</v>
      </c>
      <c r="R47" s="354">
        <v>0</v>
      </c>
      <c r="S47" s="354">
        <v>0</v>
      </c>
      <c r="T47" s="409"/>
      <c r="U47" s="409"/>
      <c r="V47" s="409"/>
      <c r="AA47" s="170">
        <f t="shared" si="26"/>
        <v>6.7199999999999989</v>
      </c>
      <c r="AB47" s="413">
        <f t="shared" si="27"/>
        <v>19.263587856485739</v>
      </c>
      <c r="AC47" s="413">
        <f t="shared" si="28"/>
        <v>22.486597938144325</v>
      </c>
      <c r="AD47" s="413">
        <f t="shared" si="29"/>
        <v>2.8666053357865686</v>
      </c>
      <c r="AE47" s="170">
        <f t="shared" si="30"/>
        <v>3.3462199312714773</v>
      </c>
    </row>
    <row r="48" spans="1:31" ht="14.25" customHeight="1" x14ac:dyDescent="0.3">
      <c r="A48" s="637"/>
      <c r="B48" s="428" t="s">
        <v>69</v>
      </c>
      <c r="C48" s="403">
        <v>100</v>
      </c>
      <c r="D48" s="404">
        <f t="shared" si="31"/>
        <v>10.8</v>
      </c>
      <c r="E48" s="405">
        <v>19</v>
      </c>
      <c r="F48" s="396"/>
      <c r="G48" s="359">
        <v>0</v>
      </c>
      <c r="H48" s="360">
        <f t="shared" si="0"/>
        <v>29.8</v>
      </c>
      <c r="I48" s="347">
        <f t="shared" si="1"/>
        <v>923.40000000000009</v>
      </c>
      <c r="J48" s="361">
        <f t="shared" si="7"/>
        <v>218.64249999999998</v>
      </c>
      <c r="K48" s="362"/>
      <c r="L48" s="363">
        <v>0.3</v>
      </c>
      <c r="M48" s="364">
        <f t="shared" si="4"/>
        <v>0.1</v>
      </c>
      <c r="N48" s="364"/>
      <c r="O48" s="408">
        <f t="shared" si="9"/>
        <v>1142.4424999999999</v>
      </c>
      <c r="P48" s="353"/>
      <c r="Q48" s="354"/>
      <c r="R48" s="354"/>
      <c r="S48" s="354"/>
      <c r="T48" s="409"/>
      <c r="U48" s="409"/>
      <c r="V48" s="409"/>
      <c r="AA48" s="170">
        <f t="shared" si="26"/>
        <v>10.8</v>
      </c>
      <c r="AB48" s="413">
        <f t="shared" si="27"/>
        <v>30.959337626494943</v>
      </c>
      <c r="AC48" s="413">
        <f t="shared" si="28"/>
        <v>36.139175257731964</v>
      </c>
      <c r="AD48" s="413">
        <f t="shared" si="29"/>
        <v>2.8666053357865686</v>
      </c>
      <c r="AE48" s="170">
        <f t="shared" si="30"/>
        <v>3.3462199312714778</v>
      </c>
    </row>
    <row r="49" spans="1:31" ht="14.25" customHeight="1" x14ac:dyDescent="0.3">
      <c r="A49" s="637"/>
      <c r="B49" s="429" t="s">
        <v>72</v>
      </c>
      <c r="C49" s="403">
        <v>100</v>
      </c>
      <c r="D49" s="404">
        <f t="shared" ref="D49:D51" si="32">D46/6*7</f>
        <v>4.2</v>
      </c>
      <c r="E49" s="405">
        <v>8</v>
      </c>
      <c r="F49" s="396"/>
      <c r="G49" s="359">
        <v>0</v>
      </c>
      <c r="H49" s="360">
        <f t="shared" si="0"/>
        <v>12.2</v>
      </c>
      <c r="I49" s="347">
        <f t="shared" si="1"/>
        <v>359.1</v>
      </c>
      <c r="J49" s="361">
        <f t="shared" si="7"/>
        <v>92.06</v>
      </c>
      <c r="K49" s="362"/>
      <c r="L49" s="363">
        <v>0.3</v>
      </c>
      <c r="M49" s="364">
        <f t="shared" si="4"/>
        <v>0.1</v>
      </c>
      <c r="N49" s="364"/>
      <c r="O49" s="408">
        <f t="shared" si="9"/>
        <v>451.56000000000006</v>
      </c>
      <c r="P49" s="353"/>
      <c r="Q49" s="354"/>
      <c r="R49" s="354"/>
      <c r="S49" s="354"/>
      <c r="T49" s="409"/>
      <c r="U49" s="409"/>
      <c r="V49" s="409"/>
      <c r="AA49" s="170">
        <f t="shared" si="26"/>
        <v>4.2</v>
      </c>
      <c r="AB49" s="413">
        <f t="shared" si="27"/>
        <v>12.039742410303589</v>
      </c>
      <c r="AC49" s="413">
        <f t="shared" si="28"/>
        <v>14.054123711340207</v>
      </c>
      <c r="AD49" s="413">
        <f t="shared" si="29"/>
        <v>2.8666053357865686</v>
      </c>
      <c r="AE49" s="170">
        <f t="shared" si="30"/>
        <v>3.3462199312714778</v>
      </c>
    </row>
    <row r="50" spans="1:31" ht="14.25" customHeight="1" x14ac:dyDescent="0.3">
      <c r="A50" s="637"/>
      <c r="B50" s="430" t="s">
        <v>184</v>
      </c>
      <c r="C50" s="403">
        <v>100</v>
      </c>
      <c r="D50" s="404">
        <f t="shared" si="32"/>
        <v>7.839999999999999</v>
      </c>
      <c r="E50" s="405">
        <v>13</v>
      </c>
      <c r="F50" s="396"/>
      <c r="G50" s="359">
        <v>0</v>
      </c>
      <c r="H50" s="360">
        <f t="shared" si="0"/>
        <v>20.84</v>
      </c>
      <c r="I50" s="347">
        <f t="shared" si="1"/>
        <v>670.31999999999994</v>
      </c>
      <c r="J50" s="361">
        <f t="shared" si="7"/>
        <v>149.59750000000003</v>
      </c>
      <c r="K50" s="362"/>
      <c r="L50" s="363">
        <v>0.3</v>
      </c>
      <c r="M50" s="364">
        <f t="shared" si="4"/>
        <v>0.1</v>
      </c>
      <c r="N50" s="364"/>
      <c r="O50" s="408">
        <f t="shared" si="9"/>
        <v>820.3175</v>
      </c>
      <c r="P50" s="353"/>
      <c r="Q50" s="354"/>
      <c r="R50" s="354"/>
      <c r="S50" s="354"/>
      <c r="T50" s="409"/>
      <c r="U50" s="409"/>
      <c r="V50" s="409"/>
      <c r="AA50" s="170">
        <f t="shared" si="26"/>
        <v>7.839999999999999</v>
      </c>
      <c r="AB50" s="413">
        <f t="shared" si="27"/>
        <v>22.474185832566693</v>
      </c>
      <c r="AC50" s="413">
        <f t="shared" si="28"/>
        <v>26.23436426116838</v>
      </c>
      <c r="AD50" s="413">
        <f t="shared" si="29"/>
        <v>2.8666053357865682</v>
      </c>
      <c r="AE50" s="170">
        <f t="shared" si="30"/>
        <v>3.3462199312714778</v>
      </c>
    </row>
    <row r="51" spans="1:31" ht="14.25" customHeight="1" x14ac:dyDescent="0.3">
      <c r="A51" s="638"/>
      <c r="B51" s="431" t="s">
        <v>77</v>
      </c>
      <c r="C51" s="432">
        <v>100</v>
      </c>
      <c r="D51" s="404">
        <f t="shared" si="32"/>
        <v>12.6</v>
      </c>
      <c r="E51" s="405">
        <v>22</v>
      </c>
      <c r="F51" s="433"/>
      <c r="G51" s="359">
        <v>0</v>
      </c>
      <c r="H51" s="434">
        <f t="shared" si="0"/>
        <v>34.6</v>
      </c>
      <c r="I51" s="377">
        <f t="shared" si="1"/>
        <v>1077.3</v>
      </c>
      <c r="J51" s="361">
        <f t="shared" si="7"/>
        <v>253.16499999999999</v>
      </c>
      <c r="K51" s="379"/>
      <c r="L51" s="363">
        <v>0.3</v>
      </c>
      <c r="M51" s="382">
        <f t="shared" si="4"/>
        <v>0.1</v>
      </c>
      <c r="N51" s="382"/>
      <c r="O51" s="383">
        <f t="shared" si="9"/>
        <v>1330.8649999999998</v>
      </c>
      <c r="P51" s="353">
        <v>0</v>
      </c>
      <c r="Q51" s="354">
        <v>0</v>
      </c>
      <c r="R51" s="354">
        <v>0</v>
      </c>
      <c r="S51" s="354">
        <v>0</v>
      </c>
      <c r="T51" s="409"/>
      <c r="U51" s="409"/>
      <c r="V51" s="409"/>
      <c r="AA51" s="170">
        <f t="shared" si="26"/>
        <v>12.6</v>
      </c>
      <c r="AB51" s="413">
        <f t="shared" si="27"/>
        <v>36.119227230910759</v>
      </c>
      <c r="AC51" s="413">
        <f t="shared" si="28"/>
        <v>42.162371134020617</v>
      </c>
      <c r="AD51" s="413">
        <f t="shared" si="29"/>
        <v>2.8666053357865682</v>
      </c>
      <c r="AE51" s="170">
        <f t="shared" si="30"/>
        <v>3.3462199312714778</v>
      </c>
    </row>
    <row r="52" spans="1:31" ht="14.25" customHeight="1" x14ac:dyDescent="0.3">
      <c r="D52" s="435" t="s">
        <v>112</v>
      </c>
      <c r="E52" s="436" t="s">
        <v>185</v>
      </c>
      <c r="F52" s="435" t="s">
        <v>186</v>
      </c>
      <c r="G52" s="252" t="s">
        <v>172</v>
      </c>
      <c r="H52" s="436" t="s">
        <v>187</v>
      </c>
      <c r="I52" s="120"/>
      <c r="L52" s="437" t="s">
        <v>188</v>
      </c>
      <c r="M52" s="438">
        <v>0.2</v>
      </c>
      <c r="N52" s="439">
        <v>0.22</v>
      </c>
      <c r="O52" s="680" t="s">
        <v>189</v>
      </c>
      <c r="P52" s="610"/>
      <c r="Q52" s="610"/>
      <c r="R52" s="610"/>
      <c r="V52" s="409">
        <f>T52+U52</f>
        <v>0</v>
      </c>
      <c r="W52" s="409"/>
      <c r="X52" s="409"/>
      <c r="Y52" s="409"/>
      <c r="AB52" s="413">
        <f t="shared" si="27"/>
        <v>0</v>
      </c>
      <c r="AC52" s="413">
        <f t="shared" si="28"/>
        <v>0</v>
      </c>
      <c r="AD52" s="413" t="e">
        <f t="shared" si="29"/>
        <v>#DIV/0!</v>
      </c>
      <c r="AE52" s="170" t="e">
        <f t="shared" si="30"/>
        <v>#DIV/0!</v>
      </c>
    </row>
    <row r="53" spans="1:31" ht="15" customHeight="1" x14ac:dyDescent="0.3">
      <c r="A53" s="636" t="s">
        <v>190</v>
      </c>
      <c r="B53" s="440">
        <v>10</v>
      </c>
      <c r="C53" s="356">
        <v>100</v>
      </c>
      <c r="D53" s="410">
        <v>7.8</v>
      </c>
      <c r="E53" s="441">
        <v>2.27</v>
      </c>
      <c r="F53" s="442">
        <v>1.02</v>
      </c>
      <c r="G53" s="443"/>
      <c r="H53" s="444">
        <f t="shared" ref="H53:H64" si="33">D53+E53+F53+G53</f>
        <v>11.09</v>
      </c>
      <c r="I53" s="445">
        <f t="shared" ref="I53:I64" si="34">($I$5*D53)</f>
        <v>666.9</v>
      </c>
      <c r="J53" s="445">
        <f>E53*$K$3</f>
        <v>19.4085</v>
      </c>
      <c r="K53" s="446">
        <f>F53*K5</f>
        <v>17.34</v>
      </c>
      <c r="L53" s="447">
        <f t="shared" ref="L53:L64" si="35">I53+J53+K53</f>
        <v>703.64850000000001</v>
      </c>
      <c r="M53" s="447">
        <f t="shared" ref="M53:M64" si="36">L53/80*100</f>
        <v>879.56062500000007</v>
      </c>
      <c r="N53" s="448">
        <f t="shared" ref="N53:N64" si="37">L53/0.78</f>
        <v>902.11346153846148</v>
      </c>
      <c r="O53" s="449">
        <v>84</v>
      </c>
      <c r="P53" s="450" t="s">
        <v>191</v>
      </c>
      <c r="Q53" s="451"/>
      <c r="R53" s="451"/>
      <c r="S53" s="452"/>
      <c r="T53" s="91">
        <f t="shared" ref="T53:T63" si="38">D53/H53</f>
        <v>0.70333633904418391</v>
      </c>
      <c r="U53" s="91">
        <f t="shared" ref="U53:U63" si="39">E53/H53</f>
        <v>0.20468890892696123</v>
      </c>
      <c r="V53" s="91">
        <f t="shared" ref="V53:V63" si="40">F53/H53</f>
        <v>9.1974752028854828E-2</v>
      </c>
      <c r="W53" s="91"/>
      <c r="X53" s="91"/>
      <c r="Y53" s="91"/>
      <c r="Z53" s="170"/>
      <c r="AA53" s="170"/>
      <c r="AB53" s="413">
        <f t="shared" si="27"/>
        <v>0</v>
      </c>
      <c r="AC53" s="413">
        <f t="shared" si="28"/>
        <v>0</v>
      </c>
      <c r="AD53" s="413" t="e">
        <f t="shared" si="29"/>
        <v>#DIV/0!</v>
      </c>
      <c r="AE53" s="170" t="e">
        <f t="shared" si="30"/>
        <v>#DIV/0!</v>
      </c>
    </row>
    <row r="54" spans="1:31" ht="14.25" customHeight="1" x14ac:dyDescent="0.3">
      <c r="A54" s="637"/>
      <c r="B54" s="440">
        <v>16</v>
      </c>
      <c r="C54" s="356">
        <v>100</v>
      </c>
      <c r="D54" s="410">
        <v>11.9</v>
      </c>
      <c r="E54" s="441">
        <v>3.1</v>
      </c>
      <c r="F54" s="442">
        <v>1.52</v>
      </c>
      <c r="G54" s="453"/>
      <c r="H54" s="444">
        <f t="shared" si="33"/>
        <v>16.52</v>
      </c>
      <c r="I54" s="445">
        <f t="shared" si="34"/>
        <v>1017.45</v>
      </c>
      <c r="J54" s="445">
        <f t="shared" ref="J54:K54" si="41">E54*J5</f>
        <v>27.590000000000003</v>
      </c>
      <c r="K54" s="446">
        <f t="shared" si="41"/>
        <v>25.84</v>
      </c>
      <c r="L54" s="448">
        <f t="shared" si="35"/>
        <v>1070.8799999999999</v>
      </c>
      <c r="M54" s="447">
        <f t="shared" si="36"/>
        <v>1338.6</v>
      </c>
      <c r="N54" s="448">
        <f t="shared" si="37"/>
        <v>1372.9230769230767</v>
      </c>
      <c r="O54" s="449">
        <v>128</v>
      </c>
      <c r="P54" s="450" t="s">
        <v>191</v>
      </c>
      <c r="Q54" s="451"/>
      <c r="R54" s="451"/>
      <c r="S54" s="451"/>
      <c r="T54" s="91">
        <f t="shared" si="38"/>
        <v>0.72033898305084754</v>
      </c>
      <c r="U54" s="91">
        <f t="shared" si="39"/>
        <v>0.18765133171912834</v>
      </c>
      <c r="V54" s="91">
        <f t="shared" si="40"/>
        <v>9.2009685230024216E-2</v>
      </c>
      <c r="W54" s="91"/>
      <c r="X54" s="91"/>
      <c r="Y54" s="91"/>
      <c r="Z54" s="170"/>
      <c r="AA54" s="170"/>
      <c r="AB54" s="413">
        <f t="shared" si="27"/>
        <v>0</v>
      </c>
      <c r="AC54" s="413">
        <f t="shared" si="28"/>
        <v>0</v>
      </c>
      <c r="AD54" s="413" t="e">
        <f t="shared" si="29"/>
        <v>#DIV/0!</v>
      </c>
      <c r="AE54" s="170" t="e">
        <f t="shared" si="30"/>
        <v>#DIV/0!</v>
      </c>
    </row>
    <row r="55" spans="1:31" ht="14.25" customHeight="1" x14ac:dyDescent="0.3">
      <c r="A55" s="637"/>
      <c r="B55" s="440">
        <v>25</v>
      </c>
      <c r="C55" s="356">
        <v>100</v>
      </c>
      <c r="D55" s="410">
        <v>17.7</v>
      </c>
      <c r="E55" s="441">
        <v>5.54</v>
      </c>
      <c r="F55" s="442">
        <v>2.23</v>
      </c>
      <c r="G55" s="453"/>
      <c r="H55" s="444">
        <f t="shared" si="33"/>
        <v>25.47</v>
      </c>
      <c r="I55" s="445">
        <f t="shared" si="34"/>
        <v>1513.35</v>
      </c>
      <c r="J55" s="445">
        <f t="shared" ref="J55:K55" si="42">E55*J5</f>
        <v>49.306000000000004</v>
      </c>
      <c r="K55" s="446">
        <f t="shared" si="42"/>
        <v>37.909999999999997</v>
      </c>
      <c r="L55" s="448">
        <f t="shared" si="35"/>
        <v>1600.566</v>
      </c>
      <c r="M55" s="447">
        <f t="shared" si="36"/>
        <v>2000.7075</v>
      </c>
      <c r="N55" s="448">
        <f t="shared" si="37"/>
        <v>2052.0076923076922</v>
      </c>
      <c r="O55" s="449">
        <v>190</v>
      </c>
      <c r="P55" s="450" t="s">
        <v>191</v>
      </c>
      <c r="Q55" s="451"/>
      <c r="R55" s="451"/>
      <c r="S55" s="452"/>
      <c r="T55" s="91">
        <f t="shared" si="38"/>
        <v>0.69493521790341584</v>
      </c>
      <c r="U55" s="91">
        <f t="shared" si="39"/>
        <v>0.21751079701609738</v>
      </c>
      <c r="V55" s="91">
        <f t="shared" si="40"/>
        <v>8.7553985080486854E-2</v>
      </c>
      <c r="W55" s="91"/>
      <c r="X55" s="91"/>
      <c r="Y55" s="91"/>
      <c r="Z55" s="170"/>
      <c r="AA55" s="170"/>
      <c r="AB55" s="413">
        <f t="shared" si="27"/>
        <v>0</v>
      </c>
      <c r="AC55" s="413">
        <f t="shared" si="28"/>
        <v>0</v>
      </c>
      <c r="AD55" s="413" t="e">
        <f t="shared" si="29"/>
        <v>#DIV/0!</v>
      </c>
      <c r="AE55" s="170" t="e">
        <f t="shared" si="30"/>
        <v>#DIV/0!</v>
      </c>
    </row>
    <row r="56" spans="1:31" ht="14.25" customHeight="1" x14ac:dyDescent="0.3">
      <c r="A56" s="637"/>
      <c r="B56" s="440">
        <v>35</v>
      </c>
      <c r="C56" s="356">
        <v>100</v>
      </c>
      <c r="D56" s="410">
        <v>24.22</v>
      </c>
      <c r="E56" s="441">
        <v>5.6</v>
      </c>
      <c r="F56" s="442">
        <v>2.41</v>
      </c>
      <c r="G56" s="453"/>
      <c r="H56" s="444">
        <f t="shared" si="33"/>
        <v>32.230000000000004</v>
      </c>
      <c r="I56" s="445">
        <f t="shared" si="34"/>
        <v>2070.81</v>
      </c>
      <c r="J56" s="445">
        <f t="shared" ref="J56:K56" si="43">E56*J5</f>
        <v>49.839999999999996</v>
      </c>
      <c r="K56" s="446">
        <f t="shared" si="43"/>
        <v>40.97</v>
      </c>
      <c r="L56" s="448">
        <f t="shared" si="35"/>
        <v>2161.62</v>
      </c>
      <c r="M56" s="447">
        <f t="shared" si="36"/>
        <v>2702.0249999999996</v>
      </c>
      <c r="N56" s="448">
        <f t="shared" si="37"/>
        <v>2771.3076923076919</v>
      </c>
      <c r="O56" s="449">
        <v>270</v>
      </c>
      <c r="P56" s="450" t="s">
        <v>191</v>
      </c>
      <c r="Q56" s="451" t="s">
        <v>192</v>
      </c>
      <c r="R56" s="451" t="s">
        <v>193</v>
      </c>
      <c r="S56" s="452"/>
      <c r="T56" s="91">
        <f t="shared" si="38"/>
        <v>0.75147378219050565</v>
      </c>
      <c r="U56" s="91">
        <f t="shared" si="39"/>
        <v>0.17375116351225564</v>
      </c>
      <c r="V56" s="91">
        <f t="shared" si="40"/>
        <v>7.4775054297238588E-2</v>
      </c>
      <c r="W56" s="91"/>
      <c r="X56" s="91"/>
      <c r="Y56" s="91"/>
      <c r="Z56" s="170"/>
      <c r="AA56" s="170"/>
      <c r="AB56" s="413">
        <f t="shared" si="27"/>
        <v>0</v>
      </c>
      <c r="AC56" s="413">
        <f t="shared" si="28"/>
        <v>0</v>
      </c>
      <c r="AD56" s="413" t="e">
        <f t="shared" si="29"/>
        <v>#DIV/0!</v>
      </c>
      <c r="AE56" s="170" t="e">
        <f t="shared" si="30"/>
        <v>#DIV/0!</v>
      </c>
    </row>
    <row r="57" spans="1:31" ht="14.25" customHeight="1" x14ac:dyDescent="0.3">
      <c r="A57" s="637"/>
      <c r="B57" s="440">
        <v>50</v>
      </c>
      <c r="C57" s="356">
        <v>100</v>
      </c>
      <c r="D57" s="410">
        <v>33.5</v>
      </c>
      <c r="E57" s="441">
        <v>8</v>
      </c>
      <c r="F57" s="442">
        <v>3.1</v>
      </c>
      <c r="G57" s="453"/>
      <c r="H57" s="444">
        <f t="shared" si="33"/>
        <v>44.6</v>
      </c>
      <c r="I57" s="445">
        <f t="shared" si="34"/>
        <v>2864.25</v>
      </c>
      <c r="J57" s="445">
        <f t="shared" ref="J57:K57" si="44">E57*J5</f>
        <v>71.2</v>
      </c>
      <c r="K57" s="446">
        <f t="shared" si="44"/>
        <v>52.7</v>
      </c>
      <c r="L57" s="448">
        <f t="shared" si="35"/>
        <v>2988.1499999999996</v>
      </c>
      <c r="M57" s="447">
        <f t="shared" si="36"/>
        <v>3735.1874999999991</v>
      </c>
      <c r="N57" s="448">
        <f t="shared" si="37"/>
        <v>3830.9615384615377</v>
      </c>
      <c r="O57" s="449">
        <v>378</v>
      </c>
      <c r="P57" s="454" t="s">
        <v>194</v>
      </c>
      <c r="Q57" s="455">
        <f>54*6</f>
        <v>324</v>
      </c>
      <c r="R57" s="456">
        <f t="shared" ref="R57:R64" si="45">O57-Q57</f>
        <v>54</v>
      </c>
      <c r="S57" s="452"/>
      <c r="T57" s="91">
        <f t="shared" si="38"/>
        <v>0.7511210762331838</v>
      </c>
      <c r="U57" s="91">
        <f t="shared" si="39"/>
        <v>0.17937219730941703</v>
      </c>
      <c r="V57" s="91">
        <f t="shared" si="40"/>
        <v>6.9506726457399109E-2</v>
      </c>
      <c r="W57" s="91"/>
      <c r="X57" s="91"/>
      <c r="Y57" s="91"/>
      <c r="Z57" s="170"/>
      <c r="AA57" s="170"/>
      <c r="AB57" s="413">
        <f t="shared" si="27"/>
        <v>0</v>
      </c>
      <c r="AC57" s="413">
        <f t="shared" si="28"/>
        <v>0</v>
      </c>
      <c r="AD57" s="413" t="e">
        <f t="shared" si="29"/>
        <v>#DIV/0!</v>
      </c>
      <c r="AE57" s="170" t="e">
        <f t="shared" si="30"/>
        <v>#DIV/0!</v>
      </c>
    </row>
    <row r="58" spans="1:31" ht="14.25" customHeight="1" x14ac:dyDescent="0.3">
      <c r="A58" s="637"/>
      <c r="B58" s="440">
        <v>70</v>
      </c>
      <c r="C58" s="356">
        <v>100</v>
      </c>
      <c r="D58" s="410">
        <v>47.4</v>
      </c>
      <c r="E58" s="457">
        <v>13</v>
      </c>
      <c r="F58" s="442">
        <v>5</v>
      </c>
      <c r="G58" s="453"/>
      <c r="H58" s="444">
        <f t="shared" si="33"/>
        <v>65.400000000000006</v>
      </c>
      <c r="I58" s="445">
        <f t="shared" si="34"/>
        <v>4052.7</v>
      </c>
      <c r="J58" s="445">
        <f t="shared" ref="J58:K58" si="46">E58*J5</f>
        <v>115.7</v>
      </c>
      <c r="K58" s="446">
        <f t="shared" si="46"/>
        <v>85</v>
      </c>
      <c r="L58" s="448">
        <f t="shared" si="35"/>
        <v>4253.3999999999996</v>
      </c>
      <c r="M58" s="447">
        <f t="shared" si="36"/>
        <v>5316.75</v>
      </c>
      <c r="N58" s="448">
        <f t="shared" si="37"/>
        <v>5453.0769230769229</v>
      </c>
      <c r="O58" s="449">
        <v>540</v>
      </c>
      <c r="P58" s="454" t="s">
        <v>195</v>
      </c>
      <c r="Q58" s="455">
        <f>84*6</f>
        <v>504</v>
      </c>
      <c r="R58" s="456">
        <f t="shared" si="45"/>
        <v>36</v>
      </c>
      <c r="T58" s="91">
        <f t="shared" si="38"/>
        <v>0.72477064220183474</v>
      </c>
      <c r="U58" s="91">
        <f t="shared" si="39"/>
        <v>0.19877675840978593</v>
      </c>
      <c r="V58" s="91">
        <f t="shared" si="40"/>
        <v>7.64525993883792E-2</v>
      </c>
      <c r="W58" s="91"/>
      <c r="X58" s="91"/>
      <c r="Y58" s="91"/>
      <c r="Z58" s="170"/>
      <c r="AA58" s="170"/>
      <c r="AB58" s="413">
        <f t="shared" si="27"/>
        <v>0</v>
      </c>
      <c r="AC58" s="413">
        <f t="shared" si="28"/>
        <v>0</v>
      </c>
      <c r="AD58" s="413" t="e">
        <f t="shared" si="29"/>
        <v>#DIV/0!</v>
      </c>
      <c r="AE58" s="170" t="e">
        <f t="shared" si="30"/>
        <v>#DIV/0!</v>
      </c>
    </row>
    <row r="59" spans="1:31" ht="14.25" customHeight="1" x14ac:dyDescent="0.3">
      <c r="A59" s="637"/>
      <c r="B59" s="440">
        <v>95</v>
      </c>
      <c r="C59" s="356">
        <v>100</v>
      </c>
      <c r="D59" s="410">
        <v>66.2</v>
      </c>
      <c r="E59" s="441">
        <v>17</v>
      </c>
      <c r="F59" s="442">
        <v>8</v>
      </c>
      <c r="G59" s="453"/>
      <c r="H59" s="444">
        <f t="shared" si="33"/>
        <v>91.2</v>
      </c>
      <c r="I59" s="445">
        <f t="shared" si="34"/>
        <v>5660.1</v>
      </c>
      <c r="J59" s="445">
        <f t="shared" ref="J59:K59" si="47">E59*J5</f>
        <v>151.30000000000001</v>
      </c>
      <c r="K59" s="446">
        <f t="shared" si="47"/>
        <v>136</v>
      </c>
      <c r="L59" s="448">
        <f t="shared" si="35"/>
        <v>5947.4000000000005</v>
      </c>
      <c r="M59" s="447">
        <f t="shared" si="36"/>
        <v>7434.25</v>
      </c>
      <c r="N59" s="448">
        <f t="shared" si="37"/>
        <v>7624.8717948717949</v>
      </c>
      <c r="O59" s="449">
        <v>720</v>
      </c>
      <c r="P59" s="454" t="s">
        <v>196</v>
      </c>
      <c r="Q59" s="455">
        <f>84*8</f>
        <v>672</v>
      </c>
      <c r="R59" s="456">
        <f t="shared" si="45"/>
        <v>48</v>
      </c>
      <c r="T59" s="91">
        <f t="shared" si="38"/>
        <v>0.72587719298245612</v>
      </c>
      <c r="U59" s="91">
        <f t="shared" si="39"/>
        <v>0.18640350877192982</v>
      </c>
      <c r="V59" s="91">
        <f t="shared" si="40"/>
        <v>8.771929824561403E-2</v>
      </c>
      <c r="W59" s="91"/>
      <c r="X59" s="91"/>
      <c r="Y59" s="91"/>
      <c r="Z59" s="170"/>
      <c r="AA59" s="170"/>
      <c r="AB59" s="413">
        <f t="shared" si="27"/>
        <v>0</v>
      </c>
      <c r="AC59" s="413">
        <f t="shared" si="28"/>
        <v>0</v>
      </c>
      <c r="AD59" s="413" t="e">
        <f t="shared" si="29"/>
        <v>#DIV/0!</v>
      </c>
      <c r="AE59" s="170" t="e">
        <f t="shared" si="30"/>
        <v>#DIV/0!</v>
      </c>
    </row>
    <row r="60" spans="1:31" ht="14.25" customHeight="1" x14ac:dyDescent="0.3">
      <c r="A60" s="637"/>
      <c r="B60" s="440">
        <v>120</v>
      </c>
      <c r="C60" s="356">
        <v>100</v>
      </c>
      <c r="D60" s="410">
        <v>86</v>
      </c>
      <c r="E60" s="441">
        <v>10.5</v>
      </c>
      <c r="F60" s="442">
        <v>6</v>
      </c>
      <c r="G60" s="453"/>
      <c r="H60" s="444">
        <f t="shared" si="33"/>
        <v>102.5</v>
      </c>
      <c r="I60" s="445">
        <f t="shared" si="34"/>
        <v>7353</v>
      </c>
      <c r="J60" s="445">
        <f t="shared" ref="J60:K60" si="48">E60*J5</f>
        <v>93.45</v>
      </c>
      <c r="K60" s="446">
        <f t="shared" si="48"/>
        <v>102</v>
      </c>
      <c r="L60" s="448">
        <f t="shared" si="35"/>
        <v>7548.45</v>
      </c>
      <c r="M60" s="447">
        <f t="shared" si="36"/>
        <v>9435.5625</v>
      </c>
      <c r="N60" s="448">
        <f t="shared" si="37"/>
        <v>9677.5</v>
      </c>
      <c r="O60" s="449">
        <v>926</v>
      </c>
      <c r="P60" s="454" t="s">
        <v>197</v>
      </c>
      <c r="Q60" s="455">
        <f>84*10</f>
        <v>840</v>
      </c>
      <c r="R60" s="456">
        <f t="shared" si="45"/>
        <v>86</v>
      </c>
      <c r="T60" s="91">
        <f t="shared" si="38"/>
        <v>0.83902439024390241</v>
      </c>
      <c r="U60" s="91">
        <f t="shared" si="39"/>
        <v>0.1024390243902439</v>
      </c>
      <c r="V60" s="91">
        <f t="shared" si="40"/>
        <v>5.8536585365853662E-2</v>
      </c>
      <c r="W60" s="91"/>
      <c r="X60" s="91"/>
      <c r="Y60" s="91"/>
      <c r="Z60" s="170"/>
      <c r="AA60" s="170"/>
      <c r="AB60" s="413">
        <f t="shared" si="27"/>
        <v>0</v>
      </c>
      <c r="AC60" s="413">
        <f t="shared" si="28"/>
        <v>0</v>
      </c>
      <c r="AD60" s="413" t="e">
        <f t="shared" si="29"/>
        <v>#DIV/0!</v>
      </c>
      <c r="AE60" s="170" t="e">
        <f t="shared" si="30"/>
        <v>#DIV/0!</v>
      </c>
    </row>
    <row r="61" spans="1:31" ht="14.25" customHeight="1" x14ac:dyDescent="0.3">
      <c r="A61" s="637"/>
      <c r="B61" s="440">
        <v>150</v>
      </c>
      <c r="C61" s="356">
        <v>100</v>
      </c>
      <c r="D61" s="410">
        <v>107.5</v>
      </c>
      <c r="E61" s="441">
        <v>29</v>
      </c>
      <c r="F61" s="442">
        <v>13</v>
      </c>
      <c r="G61" s="453"/>
      <c r="H61" s="444">
        <f t="shared" si="33"/>
        <v>149.5</v>
      </c>
      <c r="I61" s="445">
        <f t="shared" si="34"/>
        <v>9191.25</v>
      </c>
      <c r="J61" s="445">
        <f t="shared" ref="J61:K61" si="49">E61*J5</f>
        <v>258.10000000000002</v>
      </c>
      <c r="K61" s="446">
        <f t="shared" si="49"/>
        <v>221</v>
      </c>
      <c r="L61" s="448">
        <f t="shared" si="35"/>
        <v>9670.35</v>
      </c>
      <c r="M61" s="447">
        <f t="shared" si="36"/>
        <v>12087.937500000002</v>
      </c>
      <c r="N61" s="448">
        <f t="shared" si="37"/>
        <v>12397.884615384615</v>
      </c>
      <c r="O61" s="449">
        <v>1156</v>
      </c>
      <c r="P61" s="454" t="s">
        <v>198</v>
      </c>
      <c r="Q61" s="455">
        <f>84*12</f>
        <v>1008</v>
      </c>
      <c r="R61" s="456">
        <f t="shared" si="45"/>
        <v>148</v>
      </c>
      <c r="T61" s="91">
        <f t="shared" si="38"/>
        <v>0.71906354515050164</v>
      </c>
      <c r="U61" s="91">
        <f t="shared" si="39"/>
        <v>0.1939799331103679</v>
      </c>
      <c r="V61" s="91">
        <f t="shared" si="40"/>
        <v>8.6956521739130432E-2</v>
      </c>
      <c r="W61" s="91"/>
      <c r="X61" s="91"/>
      <c r="Y61" s="91"/>
      <c r="Z61" s="170"/>
      <c r="AA61" s="170"/>
      <c r="AB61" s="413">
        <f t="shared" si="27"/>
        <v>0</v>
      </c>
      <c r="AC61" s="413">
        <f t="shared" si="28"/>
        <v>0</v>
      </c>
      <c r="AD61" s="413" t="e">
        <f t="shared" si="29"/>
        <v>#DIV/0!</v>
      </c>
      <c r="AE61" s="170" t="e">
        <f t="shared" si="30"/>
        <v>#DIV/0!</v>
      </c>
    </row>
    <row r="62" spans="1:31" ht="14.25" customHeight="1" x14ac:dyDescent="0.3">
      <c r="A62" s="637"/>
      <c r="B62" s="440">
        <v>185</v>
      </c>
      <c r="C62" s="356">
        <v>100</v>
      </c>
      <c r="D62" s="410">
        <v>130</v>
      </c>
      <c r="E62" s="441">
        <v>27</v>
      </c>
      <c r="F62" s="442">
        <v>13</v>
      </c>
      <c r="G62" s="458"/>
      <c r="H62" s="459">
        <f t="shared" si="33"/>
        <v>170</v>
      </c>
      <c r="I62" s="445">
        <f t="shared" si="34"/>
        <v>11115</v>
      </c>
      <c r="J62" s="445">
        <f t="shared" ref="J62:K62" si="50">E62*J5</f>
        <v>240.3</v>
      </c>
      <c r="K62" s="446">
        <f t="shared" si="50"/>
        <v>221</v>
      </c>
      <c r="L62" s="448">
        <f t="shared" si="35"/>
        <v>11576.3</v>
      </c>
      <c r="M62" s="447">
        <f t="shared" si="36"/>
        <v>14470.374999999998</v>
      </c>
      <c r="N62" s="448">
        <f t="shared" si="37"/>
        <v>14841.410256410254</v>
      </c>
      <c r="O62" s="449">
        <v>1400</v>
      </c>
      <c r="P62" s="454" t="s">
        <v>199</v>
      </c>
      <c r="Q62" s="455">
        <f>134*9</f>
        <v>1206</v>
      </c>
      <c r="R62" s="456">
        <f t="shared" si="45"/>
        <v>194</v>
      </c>
      <c r="T62" s="91">
        <f t="shared" si="38"/>
        <v>0.76470588235294112</v>
      </c>
      <c r="U62" s="91">
        <f t="shared" si="39"/>
        <v>0.1588235294117647</v>
      </c>
      <c r="V62" s="91">
        <f t="shared" si="40"/>
        <v>7.6470588235294124E-2</v>
      </c>
      <c r="W62" s="91"/>
      <c r="X62" s="91"/>
      <c r="Y62" s="91"/>
      <c r="Z62" s="170"/>
      <c r="AA62" s="170"/>
      <c r="AB62" s="413">
        <f t="shared" si="27"/>
        <v>0</v>
      </c>
      <c r="AC62" s="413">
        <f t="shared" si="28"/>
        <v>0</v>
      </c>
      <c r="AD62" s="413" t="e">
        <f t="shared" si="29"/>
        <v>#DIV/0!</v>
      </c>
      <c r="AE62" s="170" t="e">
        <f t="shared" si="30"/>
        <v>#DIV/0!</v>
      </c>
    </row>
    <row r="63" spans="1:31" ht="14.25" customHeight="1" x14ac:dyDescent="0.3">
      <c r="A63" s="637"/>
      <c r="B63" s="460">
        <v>240</v>
      </c>
      <c r="C63" s="356">
        <v>100</v>
      </c>
      <c r="D63" s="410">
        <v>164.5</v>
      </c>
      <c r="E63" s="441">
        <v>36</v>
      </c>
      <c r="F63" s="461">
        <v>18</v>
      </c>
      <c r="G63" s="443"/>
      <c r="H63" s="444">
        <f t="shared" si="33"/>
        <v>218.5</v>
      </c>
      <c r="I63" s="462">
        <f t="shared" si="34"/>
        <v>14064.75</v>
      </c>
      <c r="J63" s="445">
        <f t="shared" ref="J63:K63" si="51">E63*J5</f>
        <v>320.40000000000003</v>
      </c>
      <c r="K63" s="446">
        <f t="shared" si="51"/>
        <v>306</v>
      </c>
      <c r="L63" s="448">
        <f t="shared" si="35"/>
        <v>14691.15</v>
      </c>
      <c r="M63" s="447">
        <f t="shared" si="36"/>
        <v>18363.9375</v>
      </c>
      <c r="N63" s="448">
        <f t="shared" si="37"/>
        <v>18834.807692307691</v>
      </c>
      <c r="O63" s="449">
        <v>1840</v>
      </c>
      <c r="P63" s="454" t="s">
        <v>200</v>
      </c>
      <c r="Q63" s="455">
        <f t="shared" ref="Q63:Q64" si="52">134*12</f>
        <v>1608</v>
      </c>
      <c r="R63" s="456">
        <f t="shared" si="45"/>
        <v>232</v>
      </c>
      <c r="T63" s="91">
        <f t="shared" si="38"/>
        <v>0.75286041189931352</v>
      </c>
      <c r="U63" s="91">
        <f t="shared" si="39"/>
        <v>0.16475972540045766</v>
      </c>
      <c r="V63" s="91">
        <f t="shared" si="40"/>
        <v>8.2379862700228831E-2</v>
      </c>
      <c r="W63" s="91"/>
      <c r="X63" s="91"/>
      <c r="Y63" s="91"/>
      <c r="Z63" s="170"/>
      <c r="AA63" s="170"/>
      <c r="AB63" s="413">
        <f t="shared" si="27"/>
        <v>0</v>
      </c>
      <c r="AC63" s="413">
        <f t="shared" si="28"/>
        <v>0</v>
      </c>
      <c r="AD63" s="413" t="e">
        <f t="shared" si="29"/>
        <v>#DIV/0!</v>
      </c>
      <c r="AE63" s="170" t="e">
        <f t="shared" si="30"/>
        <v>#DIV/0!</v>
      </c>
    </row>
    <row r="64" spans="1:31" ht="14.25" customHeight="1" x14ac:dyDescent="0.3">
      <c r="A64" s="638"/>
      <c r="B64" s="440">
        <v>300</v>
      </c>
      <c r="C64" s="356">
        <v>100</v>
      </c>
      <c r="D64" s="463">
        <v>220</v>
      </c>
      <c r="E64" s="441">
        <v>58</v>
      </c>
      <c r="F64" s="442">
        <v>28</v>
      </c>
      <c r="G64" s="443"/>
      <c r="H64" s="444">
        <f t="shared" si="33"/>
        <v>306</v>
      </c>
      <c r="I64" s="462">
        <f t="shared" si="34"/>
        <v>18810</v>
      </c>
      <c r="J64" s="445">
        <f>E64*J6</f>
        <v>587.72618</v>
      </c>
      <c r="K64" s="446">
        <f>F64*K5</f>
        <v>476</v>
      </c>
      <c r="L64" s="448">
        <f t="shared" si="35"/>
        <v>19873.726180000001</v>
      </c>
      <c r="M64" s="447">
        <f t="shared" si="36"/>
        <v>24842.157725000001</v>
      </c>
      <c r="N64" s="448">
        <f t="shared" si="37"/>
        <v>25479.136128205129</v>
      </c>
      <c r="O64" s="449">
        <v>1841</v>
      </c>
      <c r="P64" s="454" t="s">
        <v>201</v>
      </c>
      <c r="Q64" s="455">
        <f t="shared" si="52"/>
        <v>1608</v>
      </c>
      <c r="R64" s="456">
        <f t="shared" si="45"/>
        <v>233</v>
      </c>
      <c r="T64" s="464">
        <f t="shared" ref="T64:V64" si="53">MEDIAN(T53:T63)</f>
        <v>0.72587719298245612</v>
      </c>
      <c r="U64" s="464">
        <f t="shared" si="53"/>
        <v>0.18640350877192982</v>
      </c>
      <c r="V64" s="464">
        <f t="shared" si="53"/>
        <v>8.2379862700228831E-2</v>
      </c>
      <c r="W64" s="464"/>
      <c r="X64" s="464"/>
      <c r="Y64" s="464"/>
      <c r="Z64" s="170"/>
      <c r="AA64" s="170"/>
      <c r="AB64" s="413">
        <f t="shared" si="27"/>
        <v>0</v>
      </c>
      <c r="AC64" s="413">
        <f t="shared" si="28"/>
        <v>0</v>
      </c>
      <c r="AD64" s="413" t="e">
        <f t="shared" si="29"/>
        <v>#DIV/0!</v>
      </c>
      <c r="AE64" s="170" t="e">
        <f t="shared" si="30"/>
        <v>#DIV/0!</v>
      </c>
    </row>
    <row r="65" spans="1:31" ht="14.25" customHeight="1" x14ac:dyDescent="0.3">
      <c r="A65" s="170"/>
      <c r="B65" s="465"/>
      <c r="C65" s="92"/>
      <c r="D65" s="465"/>
      <c r="E65" s="466"/>
      <c r="F65" s="467"/>
      <c r="G65" s="468"/>
      <c r="H65" s="469"/>
      <c r="I65" s="470"/>
      <c r="J65" s="470"/>
      <c r="K65" s="471"/>
      <c r="L65" s="262" t="s">
        <v>202</v>
      </c>
      <c r="M65" s="472">
        <v>0.22</v>
      </c>
      <c r="N65" s="472">
        <v>0.17</v>
      </c>
      <c r="O65" s="473"/>
      <c r="P65" s="409"/>
      <c r="Q65" s="474"/>
      <c r="R65" s="475"/>
      <c r="T65" s="464"/>
      <c r="U65" s="464"/>
      <c r="V65" s="464"/>
      <c r="W65" s="464"/>
      <c r="X65" s="464"/>
      <c r="Y65" s="464"/>
      <c r="Z65" s="170"/>
      <c r="AA65" s="170"/>
      <c r="AB65" s="413"/>
      <c r="AC65" s="413"/>
      <c r="AD65" s="413"/>
      <c r="AE65" s="170"/>
    </row>
    <row r="66" spans="1:31" ht="14.25" customHeight="1" x14ac:dyDescent="0.3">
      <c r="A66" s="636" t="s">
        <v>111</v>
      </c>
      <c r="B66" s="440">
        <v>16</v>
      </c>
      <c r="C66" s="356">
        <v>100</v>
      </c>
      <c r="D66" s="395">
        <v>11.9</v>
      </c>
      <c r="E66" s="476">
        <v>6.5</v>
      </c>
      <c r="F66" s="442"/>
      <c r="G66" s="443"/>
      <c r="H66" s="444">
        <f t="shared" ref="H66:H71" si="54">D66+E66</f>
        <v>18.399999999999999</v>
      </c>
      <c r="I66" s="445">
        <f t="shared" ref="I66:I71" si="55">D66*$I$5</f>
        <v>1017.45</v>
      </c>
      <c r="J66" s="445">
        <f t="shared" ref="J66:J71" si="56">E66*$K$3</f>
        <v>55.575000000000003</v>
      </c>
      <c r="K66" s="446"/>
      <c r="L66" s="447">
        <f t="shared" ref="L66:L71" si="57">I66+J66</f>
        <v>1073.0250000000001</v>
      </c>
      <c r="M66" s="447">
        <f t="shared" ref="M66:M71" si="58">L66/0.78</f>
        <v>1375.6730769230769</v>
      </c>
      <c r="N66" s="447">
        <f t="shared" ref="N66:N71" si="59">L66/0.83</f>
        <v>1292.8012048192772</v>
      </c>
      <c r="O66" s="477"/>
      <c r="P66" s="454"/>
      <c r="Q66" s="474"/>
      <c r="R66" s="475"/>
      <c r="T66" s="464"/>
      <c r="U66" s="464"/>
      <c r="V66" s="464"/>
      <c r="W66" s="464"/>
      <c r="X66" s="464"/>
      <c r="Y66" s="464"/>
      <c r="Z66" s="170"/>
      <c r="AA66" s="170"/>
      <c r="AB66" s="413"/>
      <c r="AC66" s="413"/>
      <c r="AD66" s="413"/>
      <c r="AE66" s="170"/>
    </row>
    <row r="67" spans="1:31" ht="14.25" customHeight="1" x14ac:dyDescent="0.3">
      <c r="A67" s="637"/>
      <c r="B67" s="440">
        <v>25</v>
      </c>
      <c r="C67" s="356">
        <v>100</v>
      </c>
      <c r="D67" s="478">
        <v>17.5</v>
      </c>
      <c r="E67" s="476">
        <v>9.3000000000000007</v>
      </c>
      <c r="F67" s="442"/>
      <c r="G67" s="443"/>
      <c r="H67" s="444">
        <f t="shared" si="54"/>
        <v>26.8</v>
      </c>
      <c r="I67" s="445">
        <f t="shared" si="55"/>
        <v>1496.25</v>
      </c>
      <c r="J67" s="445">
        <f t="shared" si="56"/>
        <v>79.515000000000015</v>
      </c>
      <c r="K67" s="446"/>
      <c r="L67" s="447">
        <f t="shared" si="57"/>
        <v>1575.7650000000001</v>
      </c>
      <c r="M67" s="447">
        <f t="shared" si="58"/>
        <v>2020.2115384615386</v>
      </c>
      <c r="N67" s="447">
        <f t="shared" si="59"/>
        <v>1898.5120481927713</v>
      </c>
      <c r="O67" s="477"/>
      <c r="P67" s="454"/>
      <c r="Q67" s="474"/>
      <c r="R67" s="475"/>
      <c r="T67" s="464"/>
      <c r="U67" s="464"/>
      <c r="V67" s="464"/>
      <c r="W67" s="464"/>
      <c r="X67" s="464"/>
      <c r="Y67" s="464"/>
      <c r="Z67" s="170"/>
      <c r="AA67" s="170"/>
      <c r="AB67" s="413"/>
      <c r="AC67" s="413"/>
      <c r="AD67" s="413"/>
      <c r="AE67" s="170"/>
    </row>
    <row r="68" spans="1:31" ht="14.25" customHeight="1" x14ac:dyDescent="0.3">
      <c r="A68" s="637"/>
      <c r="B68" s="440">
        <v>35</v>
      </c>
      <c r="C68" s="356">
        <v>100</v>
      </c>
      <c r="D68" s="478">
        <v>25</v>
      </c>
      <c r="E68" s="476">
        <v>12.18</v>
      </c>
      <c r="F68" s="442"/>
      <c r="G68" s="443"/>
      <c r="H68" s="444">
        <f t="shared" si="54"/>
        <v>37.18</v>
      </c>
      <c r="I68" s="445">
        <f t="shared" si="55"/>
        <v>2137.5</v>
      </c>
      <c r="J68" s="445">
        <f t="shared" si="56"/>
        <v>104.13900000000001</v>
      </c>
      <c r="K68" s="446"/>
      <c r="L68" s="447">
        <f t="shared" si="57"/>
        <v>2241.6390000000001</v>
      </c>
      <c r="M68" s="447">
        <f t="shared" si="58"/>
        <v>2873.896153846154</v>
      </c>
      <c r="N68" s="447">
        <f t="shared" si="59"/>
        <v>2700.7698795180727</v>
      </c>
      <c r="O68" s="477"/>
      <c r="P68" s="454"/>
      <c r="Q68" s="474"/>
      <c r="R68" s="475"/>
      <c r="T68" s="464"/>
      <c r="U68" s="464"/>
      <c r="V68" s="464"/>
      <c r="W68" s="464"/>
      <c r="X68" s="464"/>
      <c r="Y68" s="464"/>
      <c r="Z68" s="170"/>
      <c r="AA68" s="170"/>
      <c r="AB68" s="413"/>
      <c r="AC68" s="413"/>
      <c r="AD68" s="413"/>
      <c r="AE68" s="170"/>
    </row>
    <row r="69" spans="1:31" ht="14.25" customHeight="1" x14ac:dyDescent="0.3">
      <c r="A69" s="637"/>
      <c r="B69" s="440">
        <v>50</v>
      </c>
      <c r="C69" s="356">
        <v>100</v>
      </c>
      <c r="D69" s="478">
        <v>35</v>
      </c>
      <c r="E69" s="476">
        <v>17</v>
      </c>
      <c r="F69" s="442"/>
      <c r="G69" s="443"/>
      <c r="H69" s="444">
        <f t="shared" si="54"/>
        <v>52</v>
      </c>
      <c r="I69" s="445">
        <f t="shared" si="55"/>
        <v>2992.5</v>
      </c>
      <c r="J69" s="445">
        <f t="shared" si="56"/>
        <v>145.35000000000002</v>
      </c>
      <c r="K69" s="446"/>
      <c r="L69" s="447">
        <f t="shared" si="57"/>
        <v>3137.85</v>
      </c>
      <c r="M69" s="447">
        <f t="shared" si="58"/>
        <v>4022.8846153846152</v>
      </c>
      <c r="N69" s="447">
        <f t="shared" si="59"/>
        <v>3780.542168674699</v>
      </c>
      <c r="O69" s="477"/>
      <c r="P69" s="454"/>
      <c r="Q69" s="474"/>
      <c r="R69" s="475"/>
      <c r="T69" s="464"/>
      <c r="U69" s="464"/>
      <c r="V69" s="464"/>
      <c r="W69" s="464"/>
      <c r="X69" s="464"/>
      <c r="Y69" s="464"/>
      <c r="Z69" s="170"/>
      <c r="AA69" s="170"/>
      <c r="AB69" s="413"/>
      <c r="AC69" s="413"/>
      <c r="AD69" s="413"/>
      <c r="AE69" s="170"/>
    </row>
    <row r="70" spans="1:31" ht="14.25" customHeight="1" x14ac:dyDescent="0.3">
      <c r="A70" s="637"/>
      <c r="B70" s="440">
        <v>70</v>
      </c>
      <c r="C70" s="356">
        <v>100</v>
      </c>
      <c r="D70" s="457">
        <v>49</v>
      </c>
      <c r="E70" s="479">
        <v>21.2</v>
      </c>
      <c r="F70" s="396"/>
      <c r="G70" s="396"/>
      <c r="H70" s="444">
        <f t="shared" si="54"/>
        <v>70.2</v>
      </c>
      <c r="I70" s="445">
        <f t="shared" si="55"/>
        <v>4189.5</v>
      </c>
      <c r="J70" s="445">
        <f t="shared" si="56"/>
        <v>181.26000000000002</v>
      </c>
      <c r="K70" s="452"/>
      <c r="L70" s="447">
        <f t="shared" si="57"/>
        <v>4370.76</v>
      </c>
      <c r="M70" s="447">
        <f t="shared" si="58"/>
        <v>5603.5384615384619</v>
      </c>
      <c r="N70" s="447">
        <f t="shared" si="59"/>
        <v>5265.9759036144587</v>
      </c>
      <c r="O70" s="480"/>
      <c r="P70" s="452"/>
      <c r="Q70" s="122"/>
      <c r="R70" s="122"/>
    </row>
    <row r="71" spans="1:31" ht="14.25" customHeight="1" x14ac:dyDescent="0.3">
      <c r="A71" s="638"/>
      <c r="B71" s="440">
        <v>95</v>
      </c>
      <c r="C71" s="356">
        <v>100</v>
      </c>
      <c r="D71" s="457">
        <v>66</v>
      </c>
      <c r="E71" s="479">
        <v>23.2</v>
      </c>
      <c r="F71" s="396"/>
      <c r="G71" s="396"/>
      <c r="H71" s="444">
        <f t="shared" si="54"/>
        <v>89.2</v>
      </c>
      <c r="I71" s="445">
        <f t="shared" si="55"/>
        <v>5643</v>
      </c>
      <c r="J71" s="445">
        <f t="shared" si="56"/>
        <v>198.36</v>
      </c>
      <c r="K71" s="452"/>
      <c r="L71" s="447">
        <f t="shared" si="57"/>
        <v>5841.36</v>
      </c>
      <c r="M71" s="447">
        <f t="shared" si="58"/>
        <v>7488.9230769230762</v>
      </c>
      <c r="N71" s="447">
        <f t="shared" si="59"/>
        <v>7037.7831325301204</v>
      </c>
      <c r="O71" s="480"/>
      <c r="P71" s="452"/>
      <c r="Q71" s="122"/>
      <c r="R71" s="122"/>
    </row>
    <row r="72" spans="1:31" ht="14.25" customHeight="1" x14ac:dyDescent="0.3">
      <c r="B72" s="481"/>
      <c r="C72" s="356"/>
      <c r="F72" s="314"/>
      <c r="G72" s="314"/>
      <c r="I72" s="120"/>
      <c r="Q72" s="122"/>
      <c r="R72" s="122"/>
    </row>
    <row r="73" spans="1:31" ht="14.25" customHeight="1" x14ac:dyDescent="0.3">
      <c r="A73" s="681" t="s">
        <v>203</v>
      </c>
      <c r="B73" s="682"/>
      <c r="C73" s="683"/>
      <c r="D73" s="331" t="s">
        <v>167</v>
      </c>
      <c r="E73" s="331" t="s">
        <v>204</v>
      </c>
      <c r="F73" s="482"/>
      <c r="G73" s="483"/>
      <c r="H73" s="1"/>
      <c r="I73" s="120"/>
      <c r="Q73" s="122"/>
      <c r="R73" s="122"/>
    </row>
    <row r="74" spans="1:31" ht="14.25" customHeight="1" x14ac:dyDescent="0.3">
      <c r="A74" s="684"/>
      <c r="B74" s="610"/>
      <c r="C74" s="685"/>
      <c r="D74" s="134"/>
      <c r="E74" s="332"/>
      <c r="F74" s="484"/>
      <c r="G74" s="485"/>
      <c r="I74" s="120"/>
      <c r="Q74" s="122"/>
      <c r="R74" s="122"/>
    </row>
    <row r="75" spans="1:31" ht="14.25" customHeight="1" x14ac:dyDescent="0.3">
      <c r="A75" s="684"/>
      <c r="B75" s="610"/>
      <c r="C75" s="685"/>
      <c r="D75" s="486">
        <v>1</v>
      </c>
      <c r="E75" s="487">
        <f t="shared" ref="E75:E81" si="60">E8</f>
        <v>1</v>
      </c>
      <c r="F75" s="488"/>
      <c r="G75" s="489"/>
      <c r="H75" s="119"/>
      <c r="I75" s="120"/>
      <c r="Q75" s="122"/>
      <c r="R75" s="122"/>
    </row>
    <row r="76" spans="1:31" ht="14.25" customHeight="1" x14ac:dyDescent="0.3">
      <c r="A76" s="684"/>
      <c r="B76" s="610"/>
      <c r="C76" s="685"/>
      <c r="D76" s="486">
        <v>1.5</v>
      </c>
      <c r="E76" s="487">
        <f t="shared" si="60"/>
        <v>0.9</v>
      </c>
      <c r="F76" s="488"/>
      <c r="G76" s="489"/>
      <c r="H76" s="119"/>
      <c r="I76" s="120"/>
      <c r="Q76" s="122"/>
      <c r="R76" s="122"/>
    </row>
    <row r="77" spans="1:31" ht="14.25" customHeight="1" x14ac:dyDescent="0.3">
      <c r="A77" s="684"/>
      <c r="B77" s="610"/>
      <c r="C77" s="685"/>
      <c r="D77" s="356">
        <v>2.5</v>
      </c>
      <c r="E77" s="487">
        <f t="shared" si="60"/>
        <v>1</v>
      </c>
      <c r="F77" s="488"/>
      <c r="G77" s="489"/>
      <c r="H77" s="119"/>
      <c r="I77" s="120"/>
      <c r="Q77" s="122"/>
      <c r="R77" s="122"/>
    </row>
    <row r="78" spans="1:31" ht="14.25" customHeight="1" x14ac:dyDescent="0.3">
      <c r="A78" s="684"/>
      <c r="B78" s="610"/>
      <c r="C78" s="685"/>
      <c r="D78" s="356">
        <v>4</v>
      </c>
      <c r="E78" s="487">
        <f t="shared" si="60"/>
        <v>1.7090000000000001</v>
      </c>
      <c r="F78" s="488"/>
      <c r="G78" s="489"/>
      <c r="H78" s="119"/>
      <c r="I78" s="120"/>
      <c r="Q78" s="122"/>
      <c r="R78" s="122"/>
    </row>
    <row r="79" spans="1:31" ht="14.25" customHeight="1" x14ac:dyDescent="0.3">
      <c r="A79" s="684"/>
      <c r="B79" s="610"/>
      <c r="C79" s="685"/>
      <c r="D79" s="356">
        <v>6</v>
      </c>
      <c r="E79" s="487">
        <f t="shared" si="60"/>
        <v>2.2360000000000002</v>
      </c>
      <c r="F79" s="488"/>
      <c r="G79" s="489"/>
      <c r="H79" s="119"/>
      <c r="I79" s="120"/>
      <c r="Q79" s="122"/>
      <c r="R79" s="122"/>
    </row>
    <row r="80" spans="1:31" ht="14.25" customHeight="1" x14ac:dyDescent="0.3">
      <c r="A80" s="684"/>
      <c r="B80" s="610"/>
      <c r="C80" s="685"/>
      <c r="D80" s="356">
        <v>10</v>
      </c>
      <c r="E80" s="487">
        <f t="shared" si="60"/>
        <v>3.4020000000000001</v>
      </c>
      <c r="F80" s="488"/>
      <c r="G80" s="489"/>
      <c r="H80" s="119"/>
      <c r="I80" s="120"/>
      <c r="Q80" s="122"/>
      <c r="R80" s="122"/>
    </row>
    <row r="81" spans="1:18" ht="14.25" customHeight="1" x14ac:dyDescent="0.3">
      <c r="A81" s="684"/>
      <c r="B81" s="610"/>
      <c r="C81" s="685"/>
      <c r="D81" s="356">
        <v>16</v>
      </c>
      <c r="E81" s="487">
        <f t="shared" si="60"/>
        <v>4.9000000000000004</v>
      </c>
      <c r="F81" s="488"/>
      <c r="G81" s="489"/>
      <c r="H81" s="119"/>
      <c r="I81" s="120"/>
      <c r="Q81" s="122"/>
      <c r="R81" s="122"/>
    </row>
    <row r="82" spans="1:18" ht="14.25" customHeight="1" x14ac:dyDescent="0.3">
      <c r="A82" s="684"/>
      <c r="B82" s="610"/>
      <c r="C82" s="685"/>
      <c r="D82" s="356" t="e">
        <f t="shared" ref="D82:E82" si="61">#REF!</f>
        <v>#REF!</v>
      </c>
      <c r="E82" s="487" t="e">
        <f t="shared" si="61"/>
        <v>#REF!</v>
      </c>
      <c r="F82" s="488"/>
      <c r="G82" s="489"/>
      <c r="H82" s="119"/>
      <c r="I82" s="120"/>
      <c r="Q82" s="122"/>
      <c r="R82" s="122"/>
    </row>
    <row r="83" spans="1:18" ht="14.25" customHeight="1" x14ac:dyDescent="0.3">
      <c r="A83" s="684"/>
      <c r="B83" s="610"/>
      <c r="C83" s="685"/>
      <c r="D83" s="356" t="e">
        <f t="shared" ref="D83:E83" si="62">#REF!</f>
        <v>#REF!</v>
      </c>
      <c r="E83" s="487" t="e">
        <f t="shared" si="62"/>
        <v>#REF!</v>
      </c>
      <c r="F83" s="488"/>
      <c r="G83" s="489"/>
      <c r="H83" s="119"/>
      <c r="I83" s="120"/>
      <c r="Q83" s="122"/>
      <c r="R83" s="122"/>
    </row>
    <row r="84" spans="1:18" ht="14.25" customHeight="1" x14ac:dyDescent="0.3">
      <c r="A84" s="684"/>
      <c r="B84" s="610"/>
      <c r="C84" s="685"/>
      <c r="D84" s="356" t="e">
        <f t="shared" ref="D84:E84" si="63">#REF!</f>
        <v>#REF!</v>
      </c>
      <c r="E84" s="487" t="e">
        <f t="shared" si="63"/>
        <v>#REF!</v>
      </c>
      <c r="F84" s="488"/>
      <c r="G84" s="489"/>
      <c r="H84" s="119"/>
      <c r="I84" s="120"/>
      <c r="Q84" s="122"/>
      <c r="R84" s="122"/>
    </row>
    <row r="85" spans="1:18" ht="14.25" customHeight="1" x14ac:dyDescent="0.3">
      <c r="A85" s="684"/>
      <c r="B85" s="610"/>
      <c r="C85" s="685"/>
      <c r="D85" s="356" t="str">
        <f t="shared" ref="D85:D89" si="64">B15</f>
        <v>2x0,75</v>
      </c>
      <c r="E85" s="487">
        <f t="shared" ref="E85:E89" si="65">E15</f>
        <v>1.5</v>
      </c>
      <c r="F85" s="488"/>
      <c r="G85" s="489"/>
      <c r="H85" s="119"/>
      <c r="I85" s="120"/>
      <c r="Q85" s="122"/>
      <c r="R85" s="122"/>
    </row>
    <row r="86" spans="1:18" ht="14.25" customHeight="1" x14ac:dyDescent="0.3">
      <c r="A86" s="684"/>
      <c r="B86" s="610"/>
      <c r="C86" s="685"/>
      <c r="D86" s="356" t="str">
        <f t="shared" si="64"/>
        <v>2x1,0</v>
      </c>
      <c r="E86" s="487">
        <f t="shared" si="65"/>
        <v>2.2200000000000002</v>
      </c>
      <c r="F86" s="488"/>
      <c r="G86" s="489"/>
      <c r="H86" s="119"/>
      <c r="I86" s="120"/>
      <c r="Q86" s="122"/>
      <c r="R86" s="122"/>
    </row>
    <row r="87" spans="1:18" ht="14.25" customHeight="1" x14ac:dyDescent="0.3">
      <c r="A87" s="684"/>
      <c r="B87" s="610"/>
      <c r="C87" s="685"/>
      <c r="D87" s="356" t="str">
        <f t="shared" si="64"/>
        <v>2x1,5</v>
      </c>
      <c r="E87" s="487">
        <f t="shared" si="65"/>
        <v>2.16</v>
      </c>
      <c r="F87" s="488"/>
      <c r="G87" s="489"/>
      <c r="H87" s="119"/>
      <c r="I87" s="120"/>
      <c r="Q87" s="122"/>
      <c r="R87" s="122"/>
    </row>
    <row r="88" spans="1:18" ht="14.25" customHeight="1" x14ac:dyDescent="0.3">
      <c r="A88" s="684"/>
      <c r="B88" s="610"/>
      <c r="C88" s="685"/>
      <c r="D88" s="356" t="str">
        <f t="shared" si="64"/>
        <v>2x2,5</v>
      </c>
      <c r="E88" s="487">
        <f t="shared" si="65"/>
        <v>3.1549999999999998</v>
      </c>
      <c r="F88" s="488"/>
      <c r="G88" s="489"/>
      <c r="H88" s="119"/>
      <c r="I88" s="120"/>
      <c r="Q88" s="122"/>
      <c r="R88" s="122"/>
    </row>
    <row r="89" spans="1:18" ht="14.25" customHeight="1" x14ac:dyDescent="0.3">
      <c r="A89" s="686"/>
      <c r="B89" s="660"/>
      <c r="C89" s="687"/>
      <c r="D89" s="356" t="str">
        <f t="shared" si="64"/>
        <v>2X4,0</v>
      </c>
      <c r="E89" s="487">
        <f t="shared" si="65"/>
        <v>3.2120000000000002</v>
      </c>
      <c r="F89" s="488"/>
      <c r="G89" s="489"/>
      <c r="H89" s="119"/>
      <c r="I89" s="120"/>
      <c r="Q89" s="122"/>
      <c r="R89" s="122"/>
    </row>
    <row r="90" spans="1:18" ht="14.25" customHeight="1" x14ac:dyDescent="0.3">
      <c r="A90" s="688" t="s">
        <v>30</v>
      </c>
      <c r="B90" s="682"/>
      <c r="C90" s="683"/>
      <c r="D90" s="331" t="s">
        <v>167</v>
      </c>
      <c r="E90" s="331" t="s">
        <v>204</v>
      </c>
      <c r="F90" s="482"/>
      <c r="G90" s="483"/>
      <c r="H90" s="1"/>
      <c r="I90" s="120"/>
      <c r="Q90" s="122"/>
      <c r="R90" s="122"/>
    </row>
    <row r="91" spans="1:18" ht="14.25" customHeight="1" x14ac:dyDescent="0.3">
      <c r="A91" s="689"/>
      <c r="B91" s="610"/>
      <c r="C91" s="685"/>
      <c r="D91" s="134"/>
      <c r="E91" s="332"/>
      <c r="F91" s="484"/>
      <c r="G91" s="485"/>
      <c r="I91" s="120"/>
      <c r="Q91" s="122"/>
      <c r="R91" s="122"/>
    </row>
    <row r="92" spans="1:18" ht="14.25" customHeight="1" x14ac:dyDescent="0.3">
      <c r="A92" s="689"/>
      <c r="B92" s="610"/>
      <c r="C92" s="685"/>
      <c r="D92" s="356" t="e">
        <f t="shared" ref="D92:E92" si="66">#REF!</f>
        <v>#REF!</v>
      </c>
      <c r="E92" s="487" t="e">
        <f t="shared" si="66"/>
        <v>#REF!</v>
      </c>
      <c r="F92" s="488"/>
      <c r="G92" s="489"/>
      <c r="H92" s="119"/>
      <c r="I92" s="120"/>
      <c r="Q92" s="122"/>
      <c r="R92" s="122"/>
    </row>
    <row r="93" spans="1:18" ht="14.25" customHeight="1" x14ac:dyDescent="0.3">
      <c r="A93" s="690"/>
      <c r="B93" s="691"/>
      <c r="C93" s="692"/>
      <c r="D93" s="356" t="str">
        <f>B22</f>
        <v>2x2,5</v>
      </c>
      <c r="E93" s="487">
        <f>F22</f>
        <v>0</v>
      </c>
      <c r="F93" s="488"/>
      <c r="G93" s="489"/>
      <c r="H93" s="119"/>
      <c r="I93" s="120"/>
      <c r="Q93" s="122"/>
      <c r="R93" s="122"/>
    </row>
    <row r="94" spans="1:18" ht="14.25" customHeight="1" x14ac:dyDescent="0.3">
      <c r="F94" s="314"/>
      <c r="G94" s="314"/>
      <c r="I94" s="120"/>
      <c r="Q94" s="122"/>
      <c r="R94" s="122"/>
    </row>
    <row r="95" spans="1:18" ht="14.25" customHeight="1" x14ac:dyDescent="0.3">
      <c r="A95" s="490"/>
      <c r="B95" s="490"/>
      <c r="C95" s="490"/>
      <c r="D95" s="490"/>
      <c r="E95" s="490"/>
      <c r="F95" s="490"/>
      <c r="G95" s="490"/>
      <c r="H95" s="490"/>
      <c r="I95" s="120"/>
      <c r="Q95" s="122"/>
      <c r="R95" s="122"/>
    </row>
    <row r="96" spans="1:18" ht="14.25" customHeight="1" x14ac:dyDescent="0.3">
      <c r="F96" s="314"/>
      <c r="G96" s="314"/>
      <c r="I96" s="120"/>
      <c r="Q96" s="122"/>
      <c r="R96" s="122"/>
    </row>
    <row r="97" spans="1:18" ht="14.25" customHeight="1" x14ac:dyDescent="0.3">
      <c r="A97" s="466" t="s">
        <v>205</v>
      </c>
      <c r="B97" s="491" t="s">
        <v>185</v>
      </c>
      <c r="C97" s="356" t="s">
        <v>206</v>
      </c>
      <c r="D97" s="492" t="s">
        <v>207</v>
      </c>
      <c r="E97" s="356" t="s">
        <v>208</v>
      </c>
      <c r="F97" s="356" t="s">
        <v>208</v>
      </c>
      <c r="G97" s="356" t="s">
        <v>209</v>
      </c>
      <c r="H97" s="356" t="s">
        <v>210</v>
      </c>
      <c r="I97" s="120"/>
      <c r="Q97" s="122"/>
      <c r="R97" s="122"/>
    </row>
    <row r="98" spans="1:18" ht="14.25" customHeight="1" x14ac:dyDescent="0.3">
      <c r="A98" s="466" t="s">
        <v>211</v>
      </c>
      <c r="B98" s="493" t="s">
        <v>212</v>
      </c>
      <c r="C98" s="494">
        <f>F98/F100</f>
        <v>0.875</v>
      </c>
      <c r="D98" s="493">
        <v>7</v>
      </c>
      <c r="E98" s="134">
        <v>25</v>
      </c>
      <c r="F98" s="134">
        <f t="shared" ref="F98:F99" si="67">D98*E98</f>
        <v>175</v>
      </c>
      <c r="G98" s="332" t="s">
        <v>213</v>
      </c>
      <c r="H98" s="332" t="s">
        <v>214</v>
      </c>
      <c r="I98" s="120"/>
      <c r="Q98" s="122"/>
      <c r="R98" s="122"/>
    </row>
    <row r="99" spans="1:18" ht="14.25" customHeight="1" x14ac:dyDescent="0.3">
      <c r="A99" s="314"/>
      <c r="B99" s="493" t="s">
        <v>215</v>
      </c>
      <c r="C99" s="494">
        <f>F99/F100</f>
        <v>0.125</v>
      </c>
      <c r="D99" s="493">
        <v>1</v>
      </c>
      <c r="E99" s="134">
        <v>25</v>
      </c>
      <c r="F99" s="134">
        <f t="shared" si="67"/>
        <v>25</v>
      </c>
      <c r="G99" s="495"/>
      <c r="H99" s="495"/>
      <c r="I99" s="120"/>
      <c r="Q99" s="122"/>
      <c r="R99" s="122"/>
    </row>
    <row r="100" spans="1:18" ht="14.25" customHeight="1" x14ac:dyDescent="0.3">
      <c r="A100" s="314"/>
      <c r="B100" s="314"/>
      <c r="C100" s="496"/>
      <c r="D100" s="450">
        <v>1</v>
      </c>
      <c r="E100" s="497"/>
      <c r="F100" s="134">
        <f>F98+F99</f>
        <v>200</v>
      </c>
      <c r="G100" s="498"/>
      <c r="H100" s="499"/>
      <c r="I100" s="120"/>
      <c r="Q100" s="122"/>
      <c r="R100" s="122"/>
    </row>
    <row r="101" spans="1:18" ht="14.25" customHeight="1" x14ac:dyDescent="0.3">
      <c r="F101" s="314"/>
      <c r="G101" s="314"/>
      <c r="I101" s="120"/>
      <c r="Q101" s="122"/>
      <c r="R101" s="122"/>
    </row>
    <row r="102" spans="1:18" ht="15" customHeight="1" x14ac:dyDescent="0.3">
      <c r="A102" s="681" t="s">
        <v>203</v>
      </c>
      <c r="B102" s="682"/>
      <c r="C102" s="683"/>
      <c r="D102" s="331" t="s">
        <v>167</v>
      </c>
      <c r="E102" s="331" t="s">
        <v>204</v>
      </c>
      <c r="F102" s="482" t="s">
        <v>211</v>
      </c>
      <c r="G102" s="483" t="s">
        <v>215</v>
      </c>
      <c r="H102" s="1" t="s">
        <v>216</v>
      </c>
      <c r="I102" s="120"/>
      <c r="Q102" s="122"/>
      <c r="R102" s="122"/>
    </row>
    <row r="103" spans="1:18" ht="15" customHeight="1" x14ac:dyDescent="0.3">
      <c r="A103" s="684"/>
      <c r="B103" s="610"/>
      <c r="C103" s="685"/>
      <c r="D103" s="134"/>
      <c r="E103" s="332"/>
      <c r="F103" s="484">
        <f>C98</f>
        <v>0.875</v>
      </c>
      <c r="G103" s="485">
        <f>C99</f>
        <v>0.125</v>
      </c>
      <c r="I103" s="120"/>
      <c r="Q103" s="122"/>
      <c r="R103" s="122"/>
    </row>
    <row r="104" spans="1:18" ht="15" customHeight="1" x14ac:dyDescent="0.3">
      <c r="A104" s="684"/>
      <c r="B104" s="610"/>
      <c r="C104" s="685"/>
      <c r="D104" s="134">
        <v>1</v>
      </c>
      <c r="E104" s="487">
        <f t="shared" ref="E104:E110" si="68">E8</f>
        <v>1</v>
      </c>
      <c r="F104" s="500">
        <f t="shared" ref="F104:F118" si="69">E104*$F$103</f>
        <v>0.875</v>
      </c>
      <c r="G104" s="489">
        <f t="shared" ref="G104:G118" si="70">E104*$G$103</f>
        <v>0.125</v>
      </c>
      <c r="H104" s="119">
        <f t="shared" ref="H104:H118" si="71">F104+G104-E104</f>
        <v>0</v>
      </c>
      <c r="I104" s="120"/>
      <c r="Q104" s="122"/>
      <c r="R104" s="122"/>
    </row>
    <row r="105" spans="1:18" ht="15" customHeight="1" x14ac:dyDescent="0.3">
      <c r="A105" s="684"/>
      <c r="B105" s="610"/>
      <c r="C105" s="685"/>
      <c r="D105" s="134">
        <f t="shared" ref="D105:D110" si="72">B9</f>
        <v>1.5</v>
      </c>
      <c r="E105" s="487">
        <f t="shared" si="68"/>
        <v>0.9</v>
      </c>
      <c r="F105" s="500">
        <f t="shared" si="69"/>
        <v>0.78749999999999998</v>
      </c>
      <c r="G105" s="489">
        <f t="shared" si="70"/>
        <v>0.1125</v>
      </c>
      <c r="H105" s="119">
        <f t="shared" si="71"/>
        <v>0</v>
      </c>
      <c r="I105" s="120"/>
      <c r="Q105" s="122"/>
      <c r="R105" s="122"/>
    </row>
    <row r="106" spans="1:18" ht="15" customHeight="1" x14ac:dyDescent="0.3">
      <c r="A106" s="684"/>
      <c r="B106" s="610"/>
      <c r="C106" s="685"/>
      <c r="D106" s="134">
        <f t="shared" si="72"/>
        <v>2.5</v>
      </c>
      <c r="E106" s="487">
        <f t="shared" si="68"/>
        <v>1</v>
      </c>
      <c r="F106" s="500">
        <f t="shared" si="69"/>
        <v>0.875</v>
      </c>
      <c r="G106" s="489">
        <f t="shared" si="70"/>
        <v>0.125</v>
      </c>
      <c r="H106" s="119">
        <f t="shared" si="71"/>
        <v>0</v>
      </c>
      <c r="I106" s="120"/>
      <c r="Q106" s="122"/>
      <c r="R106" s="122"/>
    </row>
    <row r="107" spans="1:18" ht="15" customHeight="1" x14ac:dyDescent="0.3">
      <c r="A107" s="684"/>
      <c r="B107" s="610"/>
      <c r="C107" s="685"/>
      <c r="D107" s="134">
        <f t="shared" si="72"/>
        <v>4</v>
      </c>
      <c r="E107" s="487">
        <f t="shared" si="68"/>
        <v>1.7090000000000001</v>
      </c>
      <c r="F107" s="500">
        <f t="shared" si="69"/>
        <v>1.4953750000000001</v>
      </c>
      <c r="G107" s="489">
        <f t="shared" si="70"/>
        <v>0.21362500000000001</v>
      </c>
      <c r="H107" s="119">
        <f t="shared" si="71"/>
        <v>0</v>
      </c>
      <c r="I107" s="120"/>
      <c r="Q107" s="122"/>
      <c r="R107" s="122"/>
    </row>
    <row r="108" spans="1:18" ht="15" customHeight="1" x14ac:dyDescent="0.3">
      <c r="A108" s="684"/>
      <c r="B108" s="610"/>
      <c r="C108" s="685"/>
      <c r="D108" s="134">
        <f t="shared" si="72"/>
        <v>6</v>
      </c>
      <c r="E108" s="487">
        <f t="shared" si="68"/>
        <v>2.2360000000000002</v>
      </c>
      <c r="F108" s="500">
        <f t="shared" si="69"/>
        <v>1.9565000000000001</v>
      </c>
      <c r="G108" s="489">
        <f t="shared" si="70"/>
        <v>0.27950000000000003</v>
      </c>
      <c r="H108" s="119">
        <f t="shared" si="71"/>
        <v>0</v>
      </c>
      <c r="I108" s="120"/>
      <c r="Q108" s="122"/>
      <c r="R108" s="122"/>
    </row>
    <row r="109" spans="1:18" ht="15" customHeight="1" x14ac:dyDescent="0.3">
      <c r="A109" s="684"/>
      <c r="B109" s="610"/>
      <c r="C109" s="685"/>
      <c r="D109" s="134">
        <f t="shared" si="72"/>
        <v>10</v>
      </c>
      <c r="E109" s="487">
        <f t="shared" si="68"/>
        <v>3.4020000000000001</v>
      </c>
      <c r="F109" s="500">
        <f t="shared" si="69"/>
        <v>2.97675</v>
      </c>
      <c r="G109" s="489">
        <f t="shared" si="70"/>
        <v>0.42525000000000002</v>
      </c>
      <c r="H109" s="119">
        <f t="shared" si="71"/>
        <v>0</v>
      </c>
      <c r="I109" s="120"/>
      <c r="Q109" s="122"/>
      <c r="R109" s="122"/>
    </row>
    <row r="110" spans="1:18" ht="14.25" customHeight="1" x14ac:dyDescent="0.3">
      <c r="A110" s="684"/>
      <c r="B110" s="610"/>
      <c r="C110" s="685"/>
      <c r="D110" s="134">
        <f t="shared" si="72"/>
        <v>16</v>
      </c>
      <c r="E110" s="487">
        <f t="shared" si="68"/>
        <v>4.9000000000000004</v>
      </c>
      <c r="F110" s="500">
        <f t="shared" si="69"/>
        <v>4.2875000000000005</v>
      </c>
      <c r="G110" s="489">
        <f t="shared" si="70"/>
        <v>0.61250000000000004</v>
      </c>
      <c r="H110" s="119">
        <f t="shared" si="71"/>
        <v>0</v>
      </c>
      <c r="I110" s="120"/>
      <c r="Q110" s="122"/>
      <c r="R110" s="122"/>
    </row>
    <row r="111" spans="1:18" ht="14.25" customHeight="1" x14ac:dyDescent="0.3">
      <c r="A111" s="684"/>
      <c r="B111" s="610"/>
      <c r="C111" s="685"/>
      <c r="D111" s="134" t="e">
        <f t="shared" ref="D111:E111" si="73">#REF!</f>
        <v>#REF!</v>
      </c>
      <c r="E111" s="487" t="e">
        <f t="shared" si="73"/>
        <v>#REF!</v>
      </c>
      <c r="F111" s="500" t="e">
        <f t="shared" si="69"/>
        <v>#REF!</v>
      </c>
      <c r="G111" s="489" t="e">
        <f t="shared" si="70"/>
        <v>#REF!</v>
      </c>
      <c r="H111" s="119" t="e">
        <f t="shared" si="71"/>
        <v>#REF!</v>
      </c>
      <c r="I111" s="120"/>
      <c r="Q111" s="122"/>
      <c r="R111" s="122"/>
    </row>
    <row r="112" spans="1:18" ht="14.25" customHeight="1" x14ac:dyDescent="0.3">
      <c r="A112" s="684"/>
      <c r="B112" s="610"/>
      <c r="C112" s="685"/>
      <c r="D112" s="134" t="e">
        <f t="shared" ref="D112:E112" si="74">#REF!</f>
        <v>#REF!</v>
      </c>
      <c r="E112" s="487" t="e">
        <f t="shared" si="74"/>
        <v>#REF!</v>
      </c>
      <c r="F112" s="500" t="e">
        <f t="shared" si="69"/>
        <v>#REF!</v>
      </c>
      <c r="G112" s="489" t="e">
        <f t="shared" si="70"/>
        <v>#REF!</v>
      </c>
      <c r="H112" s="119" t="e">
        <f t="shared" si="71"/>
        <v>#REF!</v>
      </c>
      <c r="I112" s="120"/>
      <c r="Q112" s="122"/>
      <c r="R112" s="122"/>
    </row>
    <row r="113" spans="1:18" ht="14.25" customHeight="1" x14ac:dyDescent="0.3">
      <c r="A113" s="684"/>
      <c r="B113" s="610"/>
      <c r="C113" s="685"/>
      <c r="D113" s="134" t="e">
        <f t="shared" ref="D113:E113" si="75">#REF!</f>
        <v>#REF!</v>
      </c>
      <c r="E113" s="487" t="e">
        <f t="shared" si="75"/>
        <v>#REF!</v>
      </c>
      <c r="F113" s="500" t="e">
        <f t="shared" si="69"/>
        <v>#REF!</v>
      </c>
      <c r="G113" s="489" t="e">
        <f t="shared" si="70"/>
        <v>#REF!</v>
      </c>
      <c r="H113" s="119" t="e">
        <f t="shared" si="71"/>
        <v>#REF!</v>
      </c>
      <c r="I113" s="120"/>
      <c r="Q113" s="122"/>
      <c r="R113" s="122"/>
    </row>
    <row r="114" spans="1:18" ht="14.25" customHeight="1" x14ac:dyDescent="0.3">
      <c r="A114" s="684"/>
      <c r="B114" s="610"/>
      <c r="C114" s="685"/>
      <c r="D114" s="134" t="str">
        <f t="shared" ref="D114:D118" si="76">B15</f>
        <v>2x0,75</v>
      </c>
      <c r="E114" s="487">
        <f t="shared" ref="E114:E118" si="77">E15</f>
        <v>1.5</v>
      </c>
      <c r="F114" s="500">
        <f t="shared" si="69"/>
        <v>1.3125</v>
      </c>
      <c r="G114" s="489">
        <f t="shared" si="70"/>
        <v>0.1875</v>
      </c>
      <c r="H114" s="119">
        <f t="shared" si="71"/>
        <v>0</v>
      </c>
      <c r="I114" s="120"/>
      <c r="Q114" s="122"/>
      <c r="R114" s="122"/>
    </row>
    <row r="115" spans="1:18" ht="14.25" customHeight="1" x14ac:dyDescent="0.3">
      <c r="A115" s="684"/>
      <c r="B115" s="610"/>
      <c r="C115" s="685"/>
      <c r="D115" s="134" t="str">
        <f t="shared" si="76"/>
        <v>2x1,0</v>
      </c>
      <c r="E115" s="487">
        <f t="shared" si="77"/>
        <v>2.2200000000000002</v>
      </c>
      <c r="F115" s="500">
        <f t="shared" si="69"/>
        <v>1.9425000000000001</v>
      </c>
      <c r="G115" s="489">
        <f t="shared" si="70"/>
        <v>0.27750000000000002</v>
      </c>
      <c r="H115" s="119">
        <f t="shared" si="71"/>
        <v>0</v>
      </c>
      <c r="I115" s="120"/>
      <c r="Q115" s="122"/>
      <c r="R115" s="122"/>
    </row>
    <row r="116" spans="1:18" ht="14.25" customHeight="1" x14ac:dyDescent="0.3">
      <c r="A116" s="684"/>
      <c r="B116" s="610"/>
      <c r="C116" s="685"/>
      <c r="D116" s="134" t="str">
        <f t="shared" si="76"/>
        <v>2x1,5</v>
      </c>
      <c r="E116" s="487">
        <f t="shared" si="77"/>
        <v>2.16</v>
      </c>
      <c r="F116" s="500">
        <f t="shared" si="69"/>
        <v>1.8900000000000001</v>
      </c>
      <c r="G116" s="489">
        <f t="shared" si="70"/>
        <v>0.27</v>
      </c>
      <c r="H116" s="119">
        <f t="shared" si="71"/>
        <v>0</v>
      </c>
      <c r="I116" s="120"/>
      <c r="Q116" s="122"/>
      <c r="R116" s="122"/>
    </row>
    <row r="117" spans="1:18" ht="14.25" customHeight="1" x14ac:dyDescent="0.3">
      <c r="A117" s="684"/>
      <c r="B117" s="610"/>
      <c r="C117" s="685"/>
      <c r="D117" s="134" t="str">
        <f t="shared" si="76"/>
        <v>2x2,5</v>
      </c>
      <c r="E117" s="487">
        <f t="shared" si="77"/>
        <v>3.1549999999999998</v>
      </c>
      <c r="F117" s="500">
        <f t="shared" si="69"/>
        <v>2.7606249999999997</v>
      </c>
      <c r="G117" s="489">
        <f t="shared" si="70"/>
        <v>0.39437499999999998</v>
      </c>
      <c r="H117" s="119">
        <f t="shared" si="71"/>
        <v>0</v>
      </c>
      <c r="I117" s="120"/>
      <c r="Q117" s="122"/>
      <c r="R117" s="122"/>
    </row>
    <row r="118" spans="1:18" ht="14.25" customHeight="1" x14ac:dyDescent="0.3">
      <c r="A118" s="686"/>
      <c r="B118" s="660"/>
      <c r="C118" s="687"/>
      <c r="D118" s="134" t="str">
        <f t="shared" si="76"/>
        <v>2X4,0</v>
      </c>
      <c r="E118" s="487">
        <f t="shared" si="77"/>
        <v>3.2120000000000002</v>
      </c>
      <c r="F118" s="500">
        <f t="shared" si="69"/>
        <v>2.8105000000000002</v>
      </c>
      <c r="G118" s="489">
        <f t="shared" si="70"/>
        <v>0.40150000000000002</v>
      </c>
      <c r="H118" s="119">
        <f t="shared" si="71"/>
        <v>0</v>
      </c>
      <c r="I118" s="120"/>
      <c r="Q118" s="122"/>
      <c r="R118" s="122"/>
    </row>
    <row r="119" spans="1:18" ht="14.25" customHeight="1" x14ac:dyDescent="0.3">
      <c r="F119" s="314"/>
      <c r="G119" s="314"/>
      <c r="I119" s="120"/>
      <c r="Q119" s="122"/>
      <c r="R119" s="122"/>
    </row>
    <row r="120" spans="1:18" ht="14.25" customHeight="1" x14ac:dyDescent="0.3">
      <c r="F120" s="314"/>
      <c r="G120" s="314"/>
      <c r="I120" s="120"/>
      <c r="Q120" s="122"/>
      <c r="R120" s="122"/>
    </row>
    <row r="121" spans="1:18" ht="14.25" customHeight="1" x14ac:dyDescent="0.3">
      <c r="F121" s="314"/>
      <c r="G121" s="314"/>
      <c r="I121" s="120"/>
      <c r="Q121" s="122"/>
      <c r="R121" s="122"/>
    </row>
    <row r="122" spans="1:18" ht="14.25" customHeight="1" x14ac:dyDescent="0.3">
      <c r="F122" s="314"/>
      <c r="G122" s="314"/>
      <c r="I122" s="120"/>
      <c r="Q122" s="122"/>
      <c r="R122" s="122"/>
    </row>
    <row r="123" spans="1:18" ht="14.25" customHeight="1" x14ac:dyDescent="0.3">
      <c r="F123" s="314"/>
      <c r="G123" s="314"/>
      <c r="I123" s="120"/>
      <c r="Q123" s="122"/>
      <c r="R123" s="122"/>
    </row>
    <row r="124" spans="1:18" ht="14.25" customHeight="1" x14ac:dyDescent="0.3">
      <c r="F124" s="314"/>
      <c r="G124" s="314"/>
      <c r="I124" s="120"/>
      <c r="Q124" s="122"/>
      <c r="R124" s="122"/>
    </row>
    <row r="125" spans="1:18" ht="14.25" customHeight="1" x14ac:dyDescent="0.3">
      <c r="F125" s="314"/>
      <c r="G125" s="314"/>
      <c r="I125" s="120"/>
      <c r="Q125" s="122"/>
      <c r="R125" s="122"/>
    </row>
    <row r="126" spans="1:18" ht="14.25" customHeight="1" x14ac:dyDescent="0.3">
      <c r="F126" s="314"/>
      <c r="G126" s="314"/>
      <c r="I126" s="120"/>
      <c r="Q126" s="122"/>
      <c r="R126" s="122"/>
    </row>
    <row r="127" spans="1:18" ht="14.25" customHeight="1" x14ac:dyDescent="0.3">
      <c r="F127" s="314"/>
      <c r="G127" s="314"/>
      <c r="I127" s="120"/>
      <c r="Q127" s="122"/>
      <c r="R127" s="122"/>
    </row>
    <row r="128" spans="1:18" ht="14.25" customHeight="1" x14ac:dyDescent="0.3">
      <c r="F128" s="314"/>
      <c r="G128" s="314"/>
      <c r="I128" s="120"/>
      <c r="Q128" s="122"/>
      <c r="R128" s="122"/>
    </row>
    <row r="129" spans="6:18" ht="14.25" customHeight="1" x14ac:dyDescent="0.3">
      <c r="F129" s="314"/>
      <c r="G129" s="314"/>
      <c r="I129" s="120"/>
      <c r="Q129" s="122"/>
      <c r="R129" s="122"/>
    </row>
    <row r="130" spans="6:18" ht="14.25" customHeight="1" x14ac:dyDescent="0.3">
      <c r="F130" s="314"/>
      <c r="G130" s="314"/>
      <c r="I130" s="120"/>
      <c r="Q130" s="122"/>
      <c r="R130" s="122"/>
    </row>
    <row r="131" spans="6:18" ht="14.25" customHeight="1" x14ac:dyDescent="0.3">
      <c r="F131" s="314"/>
      <c r="G131" s="314"/>
      <c r="I131" s="120"/>
      <c r="Q131" s="122"/>
      <c r="R131" s="122"/>
    </row>
    <row r="132" spans="6:18" ht="14.25" customHeight="1" x14ac:dyDescent="0.3">
      <c r="F132" s="314"/>
      <c r="G132" s="314"/>
      <c r="I132" s="120"/>
      <c r="Q132" s="122"/>
      <c r="R132" s="122"/>
    </row>
    <row r="133" spans="6:18" ht="14.25" customHeight="1" x14ac:dyDescent="0.3">
      <c r="F133" s="314"/>
      <c r="G133" s="314"/>
      <c r="I133" s="120"/>
      <c r="Q133" s="122"/>
      <c r="R133" s="122"/>
    </row>
    <row r="134" spans="6:18" ht="14.25" customHeight="1" x14ac:dyDescent="0.3">
      <c r="F134" s="314"/>
      <c r="G134" s="314"/>
      <c r="I134" s="120"/>
      <c r="Q134" s="122"/>
      <c r="R134" s="122"/>
    </row>
    <row r="135" spans="6:18" ht="14.25" customHeight="1" x14ac:dyDescent="0.3">
      <c r="F135" s="314"/>
      <c r="G135" s="314"/>
      <c r="I135" s="120"/>
      <c r="Q135" s="122"/>
      <c r="R135" s="122"/>
    </row>
    <row r="136" spans="6:18" ht="14.25" customHeight="1" x14ac:dyDescent="0.3">
      <c r="F136" s="314"/>
      <c r="G136" s="314"/>
      <c r="I136" s="120"/>
      <c r="Q136" s="122"/>
      <c r="R136" s="122"/>
    </row>
    <row r="137" spans="6:18" ht="14.25" customHeight="1" x14ac:dyDescent="0.3">
      <c r="F137" s="314"/>
      <c r="G137" s="314"/>
      <c r="I137" s="120"/>
      <c r="Q137" s="122"/>
      <c r="R137" s="122"/>
    </row>
    <row r="138" spans="6:18" ht="14.25" customHeight="1" x14ac:dyDescent="0.3">
      <c r="F138" s="314"/>
      <c r="G138" s="314"/>
      <c r="I138" s="120"/>
      <c r="Q138" s="122"/>
      <c r="R138" s="122"/>
    </row>
    <row r="139" spans="6:18" ht="14.25" customHeight="1" x14ac:dyDescent="0.3">
      <c r="F139" s="314"/>
      <c r="G139" s="314"/>
      <c r="I139" s="120"/>
      <c r="Q139" s="122"/>
      <c r="R139" s="122"/>
    </row>
    <row r="140" spans="6:18" ht="14.25" customHeight="1" x14ac:dyDescent="0.3">
      <c r="F140" s="314"/>
      <c r="G140" s="314"/>
      <c r="I140" s="120"/>
      <c r="Q140" s="122"/>
      <c r="R140" s="122"/>
    </row>
    <row r="141" spans="6:18" ht="14.25" customHeight="1" x14ac:dyDescent="0.3">
      <c r="F141" s="314"/>
      <c r="G141" s="314"/>
      <c r="I141" s="120"/>
      <c r="Q141" s="122"/>
      <c r="R141" s="122"/>
    </row>
    <row r="142" spans="6:18" ht="14.25" customHeight="1" x14ac:dyDescent="0.3">
      <c r="F142" s="314"/>
      <c r="G142" s="314"/>
      <c r="I142" s="120"/>
      <c r="Q142" s="122"/>
      <c r="R142" s="122"/>
    </row>
    <row r="143" spans="6:18" ht="14.25" customHeight="1" x14ac:dyDescent="0.3">
      <c r="F143" s="314"/>
      <c r="G143" s="314"/>
      <c r="I143" s="120"/>
      <c r="Q143" s="122"/>
      <c r="R143" s="122"/>
    </row>
    <row r="144" spans="6:18" ht="14.25" customHeight="1" x14ac:dyDescent="0.3">
      <c r="F144" s="314"/>
      <c r="G144" s="314"/>
      <c r="I144" s="120"/>
      <c r="Q144" s="122"/>
      <c r="R144" s="122"/>
    </row>
    <row r="145" spans="6:18" ht="14.25" customHeight="1" x14ac:dyDescent="0.3">
      <c r="F145" s="314"/>
      <c r="G145" s="314"/>
      <c r="I145" s="120"/>
      <c r="Q145" s="122"/>
      <c r="R145" s="122"/>
    </row>
    <row r="146" spans="6:18" ht="14.25" customHeight="1" x14ac:dyDescent="0.3">
      <c r="F146" s="314"/>
      <c r="G146" s="314"/>
      <c r="I146" s="120"/>
      <c r="Q146" s="122"/>
      <c r="R146" s="122"/>
    </row>
    <row r="147" spans="6:18" ht="14.25" customHeight="1" x14ac:dyDescent="0.3">
      <c r="F147" s="314"/>
      <c r="G147" s="314"/>
      <c r="I147" s="120"/>
      <c r="Q147" s="122"/>
      <c r="R147" s="122"/>
    </row>
    <row r="148" spans="6:18" ht="14.25" customHeight="1" x14ac:dyDescent="0.3">
      <c r="F148" s="314"/>
      <c r="G148" s="314"/>
      <c r="I148" s="120"/>
      <c r="Q148" s="122"/>
      <c r="R148" s="122"/>
    </row>
    <row r="149" spans="6:18" ht="14.25" customHeight="1" x14ac:dyDescent="0.3">
      <c r="F149" s="314"/>
      <c r="G149" s="314"/>
      <c r="I149" s="120"/>
      <c r="Q149" s="122"/>
      <c r="R149" s="122"/>
    </row>
    <row r="150" spans="6:18" ht="14.25" customHeight="1" x14ac:dyDescent="0.3">
      <c r="F150" s="314"/>
      <c r="G150" s="314"/>
      <c r="I150" s="120"/>
      <c r="Q150" s="122"/>
      <c r="R150" s="122"/>
    </row>
    <row r="151" spans="6:18" ht="14.25" customHeight="1" x14ac:dyDescent="0.3">
      <c r="F151" s="314"/>
      <c r="G151" s="314"/>
      <c r="I151" s="120"/>
      <c r="Q151" s="122"/>
      <c r="R151" s="122"/>
    </row>
    <row r="152" spans="6:18" ht="14.25" customHeight="1" x14ac:dyDescent="0.3">
      <c r="F152" s="314"/>
      <c r="G152" s="314"/>
      <c r="I152" s="120"/>
      <c r="Q152" s="122"/>
      <c r="R152" s="122"/>
    </row>
    <row r="153" spans="6:18" ht="14.25" customHeight="1" x14ac:dyDescent="0.3">
      <c r="F153" s="314"/>
      <c r="G153" s="314"/>
      <c r="I153" s="120"/>
      <c r="Q153" s="122"/>
      <c r="R153" s="122"/>
    </row>
    <row r="154" spans="6:18" ht="14.25" customHeight="1" x14ac:dyDescent="0.3">
      <c r="F154" s="314"/>
      <c r="G154" s="314"/>
      <c r="I154" s="120"/>
      <c r="Q154" s="122"/>
      <c r="R154" s="122"/>
    </row>
    <row r="155" spans="6:18" ht="14.25" customHeight="1" x14ac:dyDescent="0.3">
      <c r="F155" s="314"/>
      <c r="G155" s="314"/>
      <c r="I155" s="120"/>
      <c r="Q155" s="122"/>
      <c r="R155" s="122"/>
    </row>
    <row r="156" spans="6:18" ht="14.25" customHeight="1" x14ac:dyDescent="0.3">
      <c r="F156" s="314"/>
      <c r="G156" s="314"/>
      <c r="I156" s="120"/>
      <c r="Q156" s="122"/>
      <c r="R156" s="122"/>
    </row>
    <row r="157" spans="6:18" ht="14.25" customHeight="1" x14ac:dyDescent="0.3">
      <c r="F157" s="314"/>
      <c r="G157" s="314"/>
      <c r="I157" s="120"/>
      <c r="Q157" s="122"/>
      <c r="R157" s="122"/>
    </row>
    <row r="158" spans="6:18" ht="14.25" customHeight="1" x14ac:dyDescent="0.3">
      <c r="F158" s="314"/>
      <c r="G158" s="314"/>
      <c r="I158" s="120"/>
      <c r="Q158" s="122"/>
      <c r="R158" s="122"/>
    </row>
    <row r="159" spans="6:18" ht="14.25" customHeight="1" x14ac:dyDescent="0.3">
      <c r="F159" s="314"/>
      <c r="G159" s="314"/>
      <c r="I159" s="120"/>
      <c r="Q159" s="122"/>
      <c r="R159" s="122"/>
    </row>
    <row r="160" spans="6:18" ht="14.25" customHeight="1" x14ac:dyDescent="0.3">
      <c r="F160" s="314"/>
      <c r="G160" s="314"/>
      <c r="I160" s="120"/>
      <c r="Q160" s="122"/>
      <c r="R160" s="122"/>
    </row>
    <row r="161" spans="6:18" ht="14.25" customHeight="1" x14ac:dyDescent="0.3">
      <c r="F161" s="314"/>
      <c r="G161" s="314"/>
      <c r="I161" s="120"/>
      <c r="Q161" s="122"/>
      <c r="R161" s="122"/>
    </row>
    <row r="162" spans="6:18" ht="14.25" customHeight="1" x14ac:dyDescent="0.3">
      <c r="F162" s="314"/>
      <c r="G162" s="314"/>
      <c r="I162" s="120"/>
      <c r="Q162" s="122"/>
      <c r="R162" s="122"/>
    </row>
    <row r="163" spans="6:18" ht="14.25" customHeight="1" x14ac:dyDescent="0.3">
      <c r="F163" s="314"/>
      <c r="G163" s="314"/>
      <c r="I163" s="120"/>
      <c r="Q163" s="122"/>
      <c r="R163" s="122"/>
    </row>
    <row r="164" spans="6:18" ht="14.25" customHeight="1" x14ac:dyDescent="0.3">
      <c r="F164" s="314"/>
      <c r="G164" s="314"/>
      <c r="I164" s="120"/>
      <c r="Q164" s="122"/>
      <c r="R164" s="122"/>
    </row>
    <row r="165" spans="6:18" ht="14.25" customHeight="1" x14ac:dyDescent="0.3">
      <c r="F165" s="314"/>
      <c r="G165" s="314"/>
      <c r="I165" s="120"/>
      <c r="Q165" s="122"/>
      <c r="R165" s="122"/>
    </row>
    <row r="166" spans="6:18" ht="14.25" customHeight="1" x14ac:dyDescent="0.3">
      <c r="F166" s="314"/>
      <c r="G166" s="314"/>
      <c r="I166" s="120"/>
      <c r="Q166" s="122"/>
      <c r="R166" s="122"/>
    </row>
    <row r="167" spans="6:18" ht="14.25" customHeight="1" x14ac:dyDescent="0.3">
      <c r="F167" s="314"/>
      <c r="G167" s="314"/>
      <c r="I167" s="120"/>
      <c r="Q167" s="122"/>
      <c r="R167" s="122"/>
    </row>
    <row r="168" spans="6:18" ht="14.25" customHeight="1" x14ac:dyDescent="0.3">
      <c r="F168" s="314"/>
      <c r="G168" s="314"/>
      <c r="I168" s="120"/>
      <c r="Q168" s="122"/>
      <c r="R168" s="122"/>
    </row>
    <row r="169" spans="6:18" ht="14.25" customHeight="1" x14ac:dyDescent="0.3">
      <c r="F169" s="314"/>
      <c r="G169" s="314"/>
      <c r="I169" s="120"/>
      <c r="Q169" s="122"/>
      <c r="R169" s="122"/>
    </row>
    <row r="170" spans="6:18" ht="14.25" customHeight="1" x14ac:dyDescent="0.3">
      <c r="F170" s="314"/>
      <c r="G170" s="314"/>
      <c r="I170" s="120"/>
      <c r="Q170" s="122"/>
      <c r="R170" s="122"/>
    </row>
    <row r="171" spans="6:18" ht="14.25" customHeight="1" x14ac:dyDescent="0.3">
      <c r="F171" s="314"/>
      <c r="G171" s="314"/>
      <c r="I171" s="120"/>
      <c r="Q171" s="122"/>
      <c r="R171" s="122"/>
    </row>
    <row r="172" spans="6:18" ht="14.25" customHeight="1" x14ac:dyDescent="0.3">
      <c r="F172" s="314"/>
      <c r="G172" s="314"/>
      <c r="I172" s="120"/>
      <c r="Q172" s="122"/>
      <c r="R172" s="122"/>
    </row>
    <row r="173" spans="6:18" ht="14.25" customHeight="1" x14ac:dyDescent="0.3">
      <c r="F173" s="314"/>
      <c r="G173" s="314"/>
      <c r="I173" s="120"/>
      <c r="Q173" s="122"/>
      <c r="R173" s="122"/>
    </row>
    <row r="174" spans="6:18" ht="14.25" customHeight="1" x14ac:dyDescent="0.3">
      <c r="F174" s="314"/>
      <c r="G174" s="314"/>
      <c r="I174" s="120"/>
      <c r="Q174" s="122"/>
      <c r="R174" s="122"/>
    </row>
    <row r="175" spans="6:18" ht="14.25" customHeight="1" x14ac:dyDescent="0.3">
      <c r="F175" s="314"/>
      <c r="G175" s="314"/>
      <c r="I175" s="120"/>
      <c r="Q175" s="122"/>
      <c r="R175" s="122"/>
    </row>
    <row r="176" spans="6:18" ht="14.25" customHeight="1" x14ac:dyDescent="0.3">
      <c r="F176" s="314"/>
      <c r="G176" s="314"/>
      <c r="I176" s="120"/>
      <c r="Q176" s="122"/>
      <c r="R176" s="122"/>
    </row>
    <row r="177" spans="6:18" ht="14.25" customHeight="1" x14ac:dyDescent="0.3">
      <c r="F177" s="314"/>
      <c r="G177" s="314"/>
      <c r="I177" s="120"/>
      <c r="Q177" s="122"/>
      <c r="R177" s="122"/>
    </row>
    <row r="178" spans="6:18" ht="14.25" customHeight="1" x14ac:dyDescent="0.3">
      <c r="F178" s="314"/>
      <c r="G178" s="314"/>
      <c r="I178" s="120"/>
      <c r="Q178" s="122"/>
      <c r="R178" s="122"/>
    </row>
    <row r="179" spans="6:18" ht="14.25" customHeight="1" x14ac:dyDescent="0.3">
      <c r="F179" s="314"/>
      <c r="G179" s="314"/>
      <c r="I179" s="120"/>
      <c r="Q179" s="122"/>
      <c r="R179" s="122"/>
    </row>
    <row r="180" spans="6:18" ht="14.25" customHeight="1" x14ac:dyDescent="0.3">
      <c r="F180" s="314"/>
      <c r="G180" s="314"/>
      <c r="I180" s="120"/>
      <c r="Q180" s="122"/>
      <c r="R180" s="122"/>
    </row>
    <row r="181" spans="6:18" ht="14.25" customHeight="1" x14ac:dyDescent="0.3">
      <c r="F181" s="314"/>
      <c r="G181" s="314"/>
      <c r="I181" s="120"/>
      <c r="Q181" s="122"/>
      <c r="R181" s="122"/>
    </row>
    <row r="182" spans="6:18" ht="14.25" customHeight="1" x14ac:dyDescent="0.3">
      <c r="F182" s="314"/>
      <c r="G182" s="314"/>
      <c r="I182" s="120"/>
      <c r="Q182" s="122"/>
      <c r="R182" s="122"/>
    </row>
    <row r="183" spans="6:18" ht="14.25" customHeight="1" x14ac:dyDescent="0.3">
      <c r="F183" s="314"/>
      <c r="G183" s="314"/>
      <c r="I183" s="120"/>
      <c r="Q183" s="122"/>
      <c r="R183" s="122"/>
    </row>
    <row r="184" spans="6:18" ht="14.25" customHeight="1" x14ac:dyDescent="0.3">
      <c r="F184" s="314"/>
      <c r="G184" s="314"/>
      <c r="I184" s="120"/>
      <c r="Q184" s="122"/>
      <c r="R184" s="122"/>
    </row>
    <row r="185" spans="6:18" ht="14.25" customHeight="1" x14ac:dyDescent="0.3">
      <c r="F185" s="314"/>
      <c r="G185" s="314"/>
      <c r="I185" s="120"/>
      <c r="Q185" s="122"/>
      <c r="R185" s="122"/>
    </row>
    <row r="186" spans="6:18" ht="14.25" customHeight="1" x14ac:dyDescent="0.3">
      <c r="F186" s="314"/>
      <c r="G186" s="314"/>
      <c r="I186" s="120"/>
      <c r="Q186" s="122"/>
      <c r="R186" s="122"/>
    </row>
    <row r="187" spans="6:18" ht="14.25" customHeight="1" x14ac:dyDescent="0.3">
      <c r="F187" s="314"/>
      <c r="G187" s="314"/>
      <c r="I187" s="120"/>
      <c r="Q187" s="122"/>
      <c r="R187" s="122"/>
    </row>
    <row r="188" spans="6:18" ht="14.25" customHeight="1" x14ac:dyDescent="0.3">
      <c r="F188" s="314"/>
      <c r="G188" s="314"/>
      <c r="I188" s="120"/>
      <c r="Q188" s="122"/>
      <c r="R188" s="122"/>
    </row>
    <row r="189" spans="6:18" ht="14.25" customHeight="1" x14ac:dyDescent="0.3">
      <c r="F189" s="314"/>
      <c r="G189" s="314"/>
      <c r="I189" s="120"/>
      <c r="Q189" s="122"/>
      <c r="R189" s="122"/>
    </row>
    <row r="190" spans="6:18" ht="14.25" customHeight="1" x14ac:dyDescent="0.3">
      <c r="F190" s="314"/>
      <c r="G190" s="314"/>
      <c r="I190" s="120"/>
      <c r="Q190" s="122"/>
      <c r="R190" s="122"/>
    </row>
    <row r="191" spans="6:18" ht="14.25" customHeight="1" x14ac:dyDescent="0.3">
      <c r="F191" s="314"/>
      <c r="G191" s="314"/>
      <c r="I191" s="120"/>
      <c r="Q191" s="122"/>
      <c r="R191" s="122"/>
    </row>
    <row r="192" spans="6:18" ht="14.25" customHeight="1" x14ac:dyDescent="0.3">
      <c r="F192" s="314"/>
      <c r="G192" s="314"/>
      <c r="I192" s="120"/>
      <c r="Q192" s="122"/>
      <c r="R192" s="122"/>
    </row>
    <row r="193" spans="6:18" ht="14.25" customHeight="1" x14ac:dyDescent="0.3">
      <c r="F193" s="314"/>
      <c r="G193" s="314"/>
      <c r="I193" s="120"/>
      <c r="Q193" s="122"/>
      <c r="R193" s="122"/>
    </row>
    <row r="194" spans="6:18" ht="14.25" customHeight="1" x14ac:dyDescent="0.3">
      <c r="F194" s="314"/>
      <c r="G194" s="314"/>
      <c r="I194" s="120"/>
      <c r="Q194" s="122"/>
      <c r="R194" s="122"/>
    </row>
    <row r="195" spans="6:18" ht="14.25" customHeight="1" x14ac:dyDescent="0.3">
      <c r="F195" s="314"/>
      <c r="G195" s="314"/>
      <c r="I195" s="120"/>
      <c r="Q195" s="122"/>
      <c r="R195" s="122"/>
    </row>
    <row r="196" spans="6:18" ht="14.25" customHeight="1" x14ac:dyDescent="0.3">
      <c r="F196" s="314"/>
      <c r="G196" s="314"/>
      <c r="I196" s="120"/>
      <c r="Q196" s="122"/>
      <c r="R196" s="122"/>
    </row>
    <row r="197" spans="6:18" ht="14.25" customHeight="1" x14ac:dyDescent="0.3">
      <c r="F197" s="314"/>
      <c r="G197" s="314"/>
      <c r="I197" s="120"/>
      <c r="Q197" s="122"/>
      <c r="R197" s="122"/>
    </row>
    <row r="198" spans="6:18" ht="14.25" customHeight="1" x14ac:dyDescent="0.3">
      <c r="F198" s="314"/>
      <c r="G198" s="314"/>
      <c r="I198" s="120"/>
      <c r="Q198" s="122"/>
      <c r="R198" s="122"/>
    </row>
    <row r="199" spans="6:18" ht="14.25" customHeight="1" x14ac:dyDescent="0.3">
      <c r="F199" s="314"/>
      <c r="G199" s="314"/>
      <c r="I199" s="120"/>
      <c r="Q199" s="122"/>
      <c r="R199" s="122"/>
    </row>
    <row r="200" spans="6:18" ht="14.25" customHeight="1" x14ac:dyDescent="0.3">
      <c r="F200" s="314"/>
      <c r="G200" s="314"/>
      <c r="I200" s="120"/>
      <c r="Q200" s="122"/>
      <c r="R200" s="122"/>
    </row>
    <row r="201" spans="6:18" ht="14.25" customHeight="1" x14ac:dyDescent="0.3">
      <c r="F201" s="314"/>
      <c r="G201" s="314"/>
      <c r="I201" s="120"/>
      <c r="Q201" s="122"/>
      <c r="R201" s="122"/>
    </row>
    <row r="202" spans="6:18" ht="14.25" customHeight="1" x14ac:dyDescent="0.3">
      <c r="F202" s="314"/>
      <c r="G202" s="314"/>
      <c r="I202" s="120"/>
      <c r="Q202" s="122"/>
      <c r="R202" s="122"/>
    </row>
    <row r="203" spans="6:18" ht="14.25" customHeight="1" x14ac:dyDescent="0.3">
      <c r="F203" s="314"/>
      <c r="G203" s="314"/>
      <c r="I203" s="120"/>
      <c r="Q203" s="122"/>
      <c r="R203" s="122"/>
    </row>
    <row r="204" spans="6:18" ht="14.25" customHeight="1" x14ac:dyDescent="0.3">
      <c r="F204" s="314"/>
      <c r="G204" s="314"/>
      <c r="I204" s="120"/>
      <c r="Q204" s="122"/>
      <c r="R204" s="122"/>
    </row>
    <row r="205" spans="6:18" ht="14.25" customHeight="1" x14ac:dyDescent="0.3">
      <c r="F205" s="314"/>
      <c r="G205" s="314"/>
      <c r="I205" s="120"/>
      <c r="Q205" s="122"/>
      <c r="R205" s="122"/>
    </row>
    <row r="206" spans="6:18" ht="14.25" customHeight="1" x14ac:dyDescent="0.3">
      <c r="F206" s="314"/>
      <c r="G206" s="314"/>
      <c r="I206" s="120"/>
      <c r="Q206" s="122"/>
      <c r="R206" s="122"/>
    </row>
    <row r="207" spans="6:18" ht="14.25" customHeight="1" x14ac:dyDescent="0.3">
      <c r="F207" s="314"/>
      <c r="G207" s="314"/>
      <c r="I207" s="120"/>
      <c r="Q207" s="122"/>
      <c r="R207" s="122"/>
    </row>
    <row r="208" spans="6:18" ht="14.25" customHeight="1" x14ac:dyDescent="0.3">
      <c r="F208" s="314"/>
      <c r="G208" s="314"/>
      <c r="I208" s="120"/>
      <c r="Q208" s="122"/>
      <c r="R208" s="122"/>
    </row>
    <row r="209" spans="6:18" ht="14.25" customHeight="1" x14ac:dyDescent="0.3">
      <c r="F209" s="314"/>
      <c r="G209" s="314"/>
      <c r="I209" s="120"/>
      <c r="Q209" s="122"/>
      <c r="R209" s="122"/>
    </row>
    <row r="210" spans="6:18" ht="14.25" customHeight="1" x14ac:dyDescent="0.3">
      <c r="F210" s="314"/>
      <c r="G210" s="314"/>
      <c r="I210" s="120"/>
      <c r="Q210" s="122"/>
      <c r="R210" s="122"/>
    </row>
    <row r="211" spans="6:18" ht="14.25" customHeight="1" x14ac:dyDescent="0.3">
      <c r="F211" s="314"/>
      <c r="G211" s="314"/>
      <c r="I211" s="120"/>
      <c r="Q211" s="122"/>
      <c r="R211" s="122"/>
    </row>
    <row r="212" spans="6:18" ht="14.25" customHeight="1" x14ac:dyDescent="0.3">
      <c r="F212" s="314"/>
      <c r="G212" s="314"/>
      <c r="I212" s="120"/>
      <c r="Q212" s="122"/>
      <c r="R212" s="122"/>
    </row>
    <row r="213" spans="6:18" ht="14.25" customHeight="1" x14ac:dyDescent="0.3">
      <c r="F213" s="314"/>
      <c r="G213" s="314"/>
      <c r="I213" s="120"/>
      <c r="Q213" s="122"/>
      <c r="R213" s="122"/>
    </row>
    <row r="214" spans="6:18" ht="14.25" customHeight="1" x14ac:dyDescent="0.3">
      <c r="F214" s="314"/>
      <c r="G214" s="314"/>
      <c r="I214" s="120"/>
      <c r="Q214" s="122"/>
      <c r="R214" s="122"/>
    </row>
    <row r="215" spans="6:18" ht="14.25" customHeight="1" x14ac:dyDescent="0.3">
      <c r="F215" s="314"/>
      <c r="G215" s="314"/>
      <c r="I215" s="120"/>
      <c r="Q215" s="122"/>
      <c r="R215" s="122"/>
    </row>
    <row r="216" spans="6:18" ht="14.25" customHeight="1" x14ac:dyDescent="0.3">
      <c r="F216" s="314"/>
      <c r="G216" s="314"/>
      <c r="I216" s="120"/>
      <c r="Q216" s="122"/>
      <c r="R216" s="122"/>
    </row>
    <row r="217" spans="6:18" ht="14.25" customHeight="1" x14ac:dyDescent="0.3">
      <c r="F217" s="314"/>
      <c r="G217" s="314"/>
      <c r="I217" s="120"/>
      <c r="Q217" s="122"/>
      <c r="R217" s="122"/>
    </row>
    <row r="218" spans="6:18" ht="14.25" customHeight="1" x14ac:dyDescent="0.3">
      <c r="F218" s="314"/>
      <c r="G218" s="314"/>
      <c r="I218" s="120"/>
      <c r="Q218" s="122"/>
      <c r="R218" s="122"/>
    </row>
    <row r="219" spans="6:18" ht="14.25" customHeight="1" x14ac:dyDescent="0.3">
      <c r="F219" s="314"/>
      <c r="G219" s="314"/>
      <c r="I219" s="120"/>
      <c r="Q219" s="122"/>
      <c r="R219" s="122"/>
    </row>
    <row r="220" spans="6:18" ht="14.25" customHeight="1" x14ac:dyDescent="0.3">
      <c r="F220" s="314"/>
      <c r="G220" s="314"/>
      <c r="I220" s="120"/>
      <c r="Q220" s="122"/>
      <c r="R220" s="122"/>
    </row>
    <row r="221" spans="6:18" ht="14.25" customHeight="1" x14ac:dyDescent="0.3">
      <c r="F221" s="314"/>
      <c r="G221" s="314"/>
      <c r="I221" s="120"/>
      <c r="Q221" s="122"/>
      <c r="R221" s="122"/>
    </row>
    <row r="222" spans="6:18" ht="14.25" customHeight="1" x14ac:dyDescent="0.3">
      <c r="F222" s="314"/>
      <c r="G222" s="314"/>
      <c r="I222" s="120"/>
      <c r="Q222" s="122"/>
      <c r="R222" s="122"/>
    </row>
    <row r="223" spans="6:18" ht="14.25" customHeight="1" x14ac:dyDescent="0.3">
      <c r="F223" s="314"/>
      <c r="G223" s="314"/>
      <c r="I223" s="120"/>
      <c r="Q223" s="122"/>
      <c r="R223" s="122"/>
    </row>
    <row r="224" spans="6:18" ht="14.25" customHeight="1" x14ac:dyDescent="0.3">
      <c r="F224" s="314"/>
      <c r="G224" s="314"/>
      <c r="I224" s="120"/>
      <c r="Q224" s="122"/>
      <c r="R224" s="122"/>
    </row>
    <row r="225" spans="6:18" ht="14.25" customHeight="1" x14ac:dyDescent="0.3">
      <c r="F225" s="314"/>
      <c r="G225" s="314"/>
      <c r="I225" s="120"/>
      <c r="Q225" s="122"/>
      <c r="R225" s="122"/>
    </row>
    <row r="226" spans="6:18" ht="14.25" customHeight="1" x14ac:dyDescent="0.3">
      <c r="F226" s="314"/>
      <c r="G226" s="314"/>
      <c r="I226" s="120"/>
      <c r="Q226" s="122"/>
      <c r="R226" s="122"/>
    </row>
    <row r="227" spans="6:18" ht="14.25" customHeight="1" x14ac:dyDescent="0.3">
      <c r="F227" s="314"/>
      <c r="G227" s="314"/>
      <c r="I227" s="120"/>
      <c r="Q227" s="122"/>
      <c r="R227" s="122"/>
    </row>
    <row r="228" spans="6:18" ht="14.25" customHeight="1" x14ac:dyDescent="0.3">
      <c r="F228" s="314"/>
      <c r="G228" s="314"/>
      <c r="I228" s="120"/>
      <c r="Q228" s="122"/>
      <c r="R228" s="122"/>
    </row>
    <row r="229" spans="6:18" ht="14.25" customHeight="1" x14ac:dyDescent="0.3">
      <c r="F229" s="314"/>
      <c r="G229" s="314"/>
      <c r="I229" s="120"/>
      <c r="Q229" s="122"/>
      <c r="R229" s="122"/>
    </row>
    <row r="230" spans="6:18" ht="14.25" customHeight="1" x14ac:dyDescent="0.3">
      <c r="F230" s="314"/>
      <c r="G230" s="314"/>
      <c r="I230" s="120"/>
      <c r="Q230" s="122"/>
      <c r="R230" s="122"/>
    </row>
    <row r="231" spans="6:18" ht="14.25" customHeight="1" x14ac:dyDescent="0.3">
      <c r="F231" s="314"/>
      <c r="G231" s="314"/>
      <c r="I231" s="120"/>
      <c r="Q231" s="122"/>
      <c r="R231" s="122"/>
    </row>
    <row r="232" spans="6:18" ht="14.25" customHeight="1" x14ac:dyDescent="0.3">
      <c r="F232" s="314"/>
      <c r="G232" s="314"/>
      <c r="I232" s="120"/>
      <c r="Q232" s="122"/>
      <c r="R232" s="122"/>
    </row>
    <row r="233" spans="6:18" ht="14.25" customHeight="1" x14ac:dyDescent="0.3">
      <c r="F233" s="314"/>
      <c r="G233" s="314"/>
      <c r="I233" s="120"/>
      <c r="Q233" s="122"/>
      <c r="R233" s="122"/>
    </row>
    <row r="234" spans="6:18" ht="14.25" customHeight="1" x14ac:dyDescent="0.3">
      <c r="F234" s="314"/>
      <c r="G234" s="314"/>
      <c r="I234" s="120"/>
      <c r="Q234" s="122"/>
      <c r="R234" s="122"/>
    </row>
    <row r="235" spans="6:18" ht="14.25" customHeight="1" x14ac:dyDescent="0.3">
      <c r="F235" s="314"/>
      <c r="G235" s="314"/>
      <c r="I235" s="120"/>
      <c r="Q235" s="122"/>
      <c r="R235" s="122"/>
    </row>
    <row r="236" spans="6:18" ht="14.25" customHeight="1" x14ac:dyDescent="0.3">
      <c r="F236" s="314"/>
      <c r="G236" s="314"/>
      <c r="I236" s="120"/>
      <c r="Q236" s="122"/>
      <c r="R236" s="122"/>
    </row>
    <row r="237" spans="6:18" ht="14.25" customHeight="1" x14ac:dyDescent="0.3">
      <c r="F237" s="314"/>
      <c r="G237" s="314"/>
      <c r="I237" s="120"/>
      <c r="Q237" s="122"/>
      <c r="R237" s="122"/>
    </row>
    <row r="238" spans="6:18" ht="14.25" customHeight="1" x14ac:dyDescent="0.3">
      <c r="F238" s="314"/>
      <c r="G238" s="314"/>
      <c r="I238" s="120"/>
      <c r="Q238" s="122"/>
      <c r="R238" s="122"/>
    </row>
    <row r="239" spans="6:18" ht="14.25" customHeight="1" x14ac:dyDescent="0.3">
      <c r="F239" s="314"/>
      <c r="G239" s="314"/>
      <c r="I239" s="120"/>
      <c r="Q239" s="122"/>
      <c r="R239" s="122"/>
    </row>
    <row r="240" spans="6:18" ht="14.25" customHeight="1" x14ac:dyDescent="0.3">
      <c r="F240" s="314"/>
      <c r="G240" s="314"/>
      <c r="I240" s="120"/>
      <c r="Q240" s="122"/>
      <c r="R240" s="122"/>
    </row>
    <row r="241" spans="6:18" ht="14.25" customHeight="1" x14ac:dyDescent="0.3">
      <c r="F241" s="314"/>
      <c r="G241" s="314"/>
      <c r="I241" s="120"/>
      <c r="Q241" s="122"/>
      <c r="R241" s="122"/>
    </row>
    <row r="242" spans="6:18" ht="14.25" customHeight="1" x14ac:dyDescent="0.3">
      <c r="F242" s="314"/>
      <c r="G242" s="314"/>
      <c r="I242" s="120"/>
      <c r="Q242" s="122"/>
      <c r="R242" s="122"/>
    </row>
    <row r="243" spans="6:18" ht="14.25" customHeight="1" x14ac:dyDescent="0.3">
      <c r="F243" s="314"/>
      <c r="G243" s="314"/>
      <c r="I243" s="120"/>
      <c r="Q243" s="122"/>
      <c r="R243" s="122"/>
    </row>
    <row r="244" spans="6:18" ht="14.25" customHeight="1" x14ac:dyDescent="0.3">
      <c r="F244" s="314"/>
      <c r="G244" s="314"/>
      <c r="I244" s="120"/>
      <c r="Q244" s="122"/>
      <c r="R244" s="122"/>
    </row>
    <row r="245" spans="6:18" ht="14.25" customHeight="1" x14ac:dyDescent="0.3">
      <c r="F245" s="314"/>
      <c r="G245" s="314"/>
      <c r="I245" s="120"/>
      <c r="Q245" s="122"/>
      <c r="R245" s="122"/>
    </row>
    <row r="246" spans="6:18" ht="14.25" customHeight="1" x14ac:dyDescent="0.3">
      <c r="F246" s="314"/>
      <c r="G246" s="314"/>
      <c r="I246" s="120"/>
      <c r="Q246" s="122"/>
      <c r="R246" s="122"/>
    </row>
    <row r="247" spans="6:18" ht="14.25" customHeight="1" x14ac:dyDescent="0.3">
      <c r="F247" s="314"/>
      <c r="G247" s="314"/>
      <c r="I247" s="120"/>
      <c r="Q247" s="122"/>
      <c r="R247" s="122"/>
    </row>
    <row r="248" spans="6:18" ht="14.25" customHeight="1" x14ac:dyDescent="0.3">
      <c r="F248" s="314"/>
      <c r="G248" s="314"/>
      <c r="I248" s="120"/>
      <c r="Q248" s="122"/>
      <c r="R248" s="122"/>
    </row>
    <row r="249" spans="6:18" ht="14.25" customHeight="1" x14ac:dyDescent="0.3">
      <c r="F249" s="314"/>
      <c r="G249" s="314"/>
      <c r="I249" s="120"/>
      <c r="Q249" s="122"/>
      <c r="R249" s="122"/>
    </row>
    <row r="250" spans="6:18" ht="14.25" customHeight="1" x14ac:dyDescent="0.3">
      <c r="F250" s="314"/>
      <c r="G250" s="314"/>
      <c r="I250" s="120"/>
      <c r="Q250" s="122"/>
      <c r="R250" s="122"/>
    </row>
    <row r="251" spans="6:18" ht="14.25" customHeight="1" x14ac:dyDescent="0.3">
      <c r="F251" s="314"/>
      <c r="G251" s="314"/>
      <c r="I251" s="120"/>
      <c r="Q251" s="122"/>
      <c r="R251" s="122"/>
    </row>
    <row r="252" spans="6:18" ht="14.25" customHeight="1" x14ac:dyDescent="0.3">
      <c r="F252" s="314"/>
      <c r="G252" s="314"/>
      <c r="I252" s="120"/>
      <c r="Q252" s="122"/>
      <c r="R252" s="122"/>
    </row>
    <row r="253" spans="6:18" ht="14.25" customHeight="1" x14ac:dyDescent="0.3">
      <c r="F253" s="314"/>
      <c r="G253" s="314"/>
      <c r="I253" s="120"/>
      <c r="Q253" s="122"/>
      <c r="R253" s="122"/>
    </row>
    <row r="254" spans="6:18" ht="14.25" customHeight="1" x14ac:dyDescent="0.3">
      <c r="F254" s="314"/>
      <c r="G254" s="314"/>
      <c r="I254" s="120"/>
      <c r="Q254" s="122"/>
      <c r="R254" s="122"/>
    </row>
    <row r="255" spans="6:18" ht="14.25" customHeight="1" x14ac:dyDescent="0.3">
      <c r="F255" s="314"/>
      <c r="G255" s="314"/>
      <c r="I255" s="120"/>
      <c r="Q255" s="122"/>
      <c r="R255" s="122"/>
    </row>
    <row r="256" spans="6:18" ht="14.25" customHeight="1" x14ac:dyDescent="0.3">
      <c r="F256" s="314"/>
      <c r="G256" s="314"/>
      <c r="I256" s="120"/>
      <c r="Q256" s="122"/>
      <c r="R256" s="122"/>
    </row>
    <row r="257" spans="6:18" ht="14.25" customHeight="1" x14ac:dyDescent="0.3">
      <c r="F257" s="314"/>
      <c r="G257" s="314"/>
      <c r="I257" s="120"/>
      <c r="Q257" s="122"/>
      <c r="R257" s="122"/>
    </row>
    <row r="258" spans="6:18" ht="14.25" customHeight="1" x14ac:dyDescent="0.3">
      <c r="F258" s="314"/>
      <c r="G258" s="314"/>
      <c r="I258" s="120"/>
      <c r="Q258" s="122"/>
      <c r="R258" s="122"/>
    </row>
    <row r="259" spans="6:18" ht="14.25" customHeight="1" x14ac:dyDescent="0.3">
      <c r="F259" s="314"/>
      <c r="G259" s="314"/>
      <c r="I259" s="120"/>
      <c r="Q259" s="122"/>
      <c r="R259" s="122"/>
    </row>
    <row r="260" spans="6:18" ht="14.25" customHeight="1" x14ac:dyDescent="0.3">
      <c r="F260" s="314"/>
      <c r="G260" s="314"/>
      <c r="I260" s="120"/>
      <c r="Q260" s="122"/>
      <c r="R260" s="122"/>
    </row>
    <row r="261" spans="6:18" ht="14.25" customHeight="1" x14ac:dyDescent="0.3">
      <c r="F261" s="314"/>
      <c r="G261" s="314"/>
      <c r="I261" s="120"/>
      <c r="Q261" s="122"/>
      <c r="R261" s="122"/>
    </row>
    <row r="262" spans="6:18" ht="14.25" customHeight="1" x14ac:dyDescent="0.3">
      <c r="F262" s="314"/>
      <c r="G262" s="314"/>
      <c r="I262" s="120"/>
      <c r="Q262" s="122"/>
      <c r="R262" s="122"/>
    </row>
    <row r="263" spans="6:18" ht="14.25" customHeight="1" x14ac:dyDescent="0.3">
      <c r="F263" s="314"/>
      <c r="G263" s="314"/>
      <c r="I263" s="120"/>
      <c r="Q263" s="122"/>
      <c r="R263" s="122"/>
    </row>
    <row r="264" spans="6:18" ht="14.25" customHeight="1" x14ac:dyDescent="0.3">
      <c r="F264" s="314"/>
      <c r="G264" s="314"/>
      <c r="I264" s="120"/>
      <c r="Q264" s="122"/>
      <c r="R264" s="122"/>
    </row>
    <row r="265" spans="6:18" ht="14.25" customHeight="1" x14ac:dyDescent="0.3">
      <c r="F265" s="314"/>
      <c r="G265" s="314"/>
      <c r="I265" s="120"/>
      <c r="Q265" s="122"/>
      <c r="R265" s="122"/>
    </row>
    <row r="266" spans="6:18" ht="14.25" customHeight="1" x14ac:dyDescent="0.3">
      <c r="F266" s="314"/>
      <c r="G266" s="314"/>
      <c r="I266" s="120"/>
      <c r="Q266" s="122"/>
      <c r="R266" s="122"/>
    </row>
    <row r="267" spans="6:18" ht="14.25" customHeight="1" x14ac:dyDescent="0.3">
      <c r="F267" s="314"/>
      <c r="G267" s="314"/>
      <c r="I267" s="120"/>
      <c r="Q267" s="122"/>
      <c r="R267" s="122"/>
    </row>
    <row r="268" spans="6:18" ht="14.25" customHeight="1" x14ac:dyDescent="0.3">
      <c r="F268" s="314"/>
      <c r="G268" s="314"/>
      <c r="I268" s="120"/>
      <c r="Q268" s="122"/>
      <c r="R268" s="122"/>
    </row>
    <row r="269" spans="6:18" ht="14.25" customHeight="1" x14ac:dyDescent="0.3">
      <c r="F269" s="314"/>
      <c r="G269" s="314"/>
      <c r="I269" s="120"/>
      <c r="Q269" s="122"/>
      <c r="R269" s="122"/>
    </row>
    <row r="270" spans="6:18" ht="14.25" customHeight="1" x14ac:dyDescent="0.3">
      <c r="F270" s="314"/>
      <c r="G270" s="314"/>
      <c r="I270" s="120"/>
      <c r="Q270" s="122"/>
      <c r="R270" s="122"/>
    </row>
    <row r="271" spans="6:18" ht="14.25" customHeight="1" x14ac:dyDescent="0.3">
      <c r="F271" s="314"/>
      <c r="G271" s="314"/>
      <c r="I271" s="120"/>
      <c r="Q271" s="122"/>
      <c r="R271" s="122"/>
    </row>
    <row r="272" spans="6:18" ht="14.25" customHeight="1" x14ac:dyDescent="0.3">
      <c r="F272" s="314"/>
      <c r="G272" s="314"/>
      <c r="I272" s="120"/>
      <c r="Q272" s="122"/>
      <c r="R272" s="122"/>
    </row>
    <row r="273" spans="6:18" ht="14.25" customHeight="1" x14ac:dyDescent="0.3">
      <c r="F273" s="314"/>
      <c r="G273" s="314"/>
      <c r="I273" s="120"/>
      <c r="Q273" s="122"/>
      <c r="R273" s="122"/>
    </row>
    <row r="274" spans="6:18" ht="14.25" customHeight="1" x14ac:dyDescent="0.3">
      <c r="F274" s="314"/>
      <c r="G274" s="314"/>
      <c r="I274" s="120"/>
      <c r="Q274" s="122"/>
      <c r="R274" s="122"/>
    </row>
    <row r="275" spans="6:18" ht="14.25" customHeight="1" x14ac:dyDescent="0.3">
      <c r="F275" s="314"/>
      <c r="G275" s="314"/>
      <c r="I275" s="120"/>
      <c r="Q275" s="122"/>
      <c r="R275" s="122"/>
    </row>
    <row r="276" spans="6:18" ht="14.25" customHeight="1" x14ac:dyDescent="0.3">
      <c r="F276" s="314"/>
      <c r="G276" s="314"/>
      <c r="I276" s="120"/>
      <c r="Q276" s="122"/>
      <c r="R276" s="122"/>
    </row>
    <row r="277" spans="6:18" ht="14.25" customHeight="1" x14ac:dyDescent="0.3">
      <c r="F277" s="314"/>
      <c r="G277" s="314"/>
      <c r="I277" s="120"/>
      <c r="Q277" s="122"/>
      <c r="R277" s="122"/>
    </row>
    <row r="278" spans="6:18" ht="14.25" customHeight="1" x14ac:dyDescent="0.3">
      <c r="F278" s="314"/>
      <c r="G278" s="314"/>
      <c r="I278" s="120"/>
      <c r="Q278" s="122"/>
      <c r="R278" s="122"/>
    </row>
    <row r="279" spans="6:18" ht="14.25" customHeight="1" x14ac:dyDescent="0.3">
      <c r="F279" s="314"/>
      <c r="G279" s="314"/>
      <c r="I279" s="120"/>
      <c r="Q279" s="122"/>
      <c r="R279" s="122"/>
    </row>
    <row r="280" spans="6:18" ht="14.25" customHeight="1" x14ac:dyDescent="0.3">
      <c r="F280" s="314"/>
      <c r="G280" s="314"/>
      <c r="I280" s="120"/>
      <c r="Q280" s="122"/>
      <c r="R280" s="122"/>
    </row>
    <row r="281" spans="6:18" ht="14.25" customHeight="1" x14ac:dyDescent="0.3">
      <c r="F281" s="314"/>
      <c r="G281" s="314"/>
      <c r="I281" s="120"/>
      <c r="Q281" s="122"/>
      <c r="R281" s="122"/>
    </row>
    <row r="282" spans="6:18" ht="14.25" customHeight="1" x14ac:dyDescent="0.3">
      <c r="F282" s="314"/>
      <c r="G282" s="314"/>
      <c r="I282" s="120"/>
      <c r="Q282" s="122"/>
      <c r="R282" s="122"/>
    </row>
    <row r="283" spans="6:18" ht="14.25" customHeight="1" x14ac:dyDescent="0.3">
      <c r="F283" s="314"/>
      <c r="G283" s="314"/>
      <c r="I283" s="120"/>
      <c r="Q283" s="122"/>
      <c r="R283" s="122"/>
    </row>
    <row r="284" spans="6:18" ht="14.25" customHeight="1" x14ac:dyDescent="0.3">
      <c r="F284" s="314"/>
      <c r="G284" s="314"/>
      <c r="I284" s="120"/>
      <c r="Q284" s="122"/>
      <c r="R284" s="122"/>
    </row>
    <row r="285" spans="6:18" ht="14.25" customHeight="1" x14ac:dyDescent="0.3">
      <c r="F285" s="314"/>
      <c r="G285" s="314"/>
      <c r="I285" s="120"/>
      <c r="Q285" s="122"/>
      <c r="R285" s="122"/>
    </row>
    <row r="286" spans="6:18" ht="14.25" customHeight="1" x14ac:dyDescent="0.3">
      <c r="F286" s="314"/>
      <c r="G286" s="314"/>
      <c r="I286" s="120"/>
      <c r="Q286" s="122"/>
      <c r="R286" s="122"/>
    </row>
    <row r="287" spans="6:18" ht="14.25" customHeight="1" x14ac:dyDescent="0.3">
      <c r="F287" s="314"/>
      <c r="G287" s="314"/>
      <c r="I287" s="120"/>
      <c r="Q287" s="122"/>
      <c r="R287" s="122"/>
    </row>
    <row r="288" spans="6:18" ht="14.25" customHeight="1" x14ac:dyDescent="0.3">
      <c r="F288" s="314"/>
      <c r="G288" s="314"/>
      <c r="I288" s="120"/>
      <c r="Q288" s="122"/>
      <c r="R288" s="122"/>
    </row>
    <row r="289" spans="6:18" ht="14.25" customHeight="1" x14ac:dyDescent="0.3">
      <c r="F289" s="314"/>
      <c r="G289" s="314"/>
      <c r="I289" s="120"/>
      <c r="Q289" s="122"/>
      <c r="R289" s="122"/>
    </row>
    <row r="290" spans="6:18" ht="14.25" customHeight="1" x14ac:dyDescent="0.3">
      <c r="F290" s="314"/>
      <c r="G290" s="314"/>
      <c r="I290" s="120"/>
      <c r="Q290" s="122"/>
      <c r="R290" s="122"/>
    </row>
    <row r="291" spans="6:18" ht="14.25" customHeight="1" x14ac:dyDescent="0.3">
      <c r="F291" s="314"/>
      <c r="G291" s="314"/>
      <c r="I291" s="120"/>
      <c r="Q291" s="122"/>
      <c r="R291" s="122"/>
    </row>
    <row r="292" spans="6:18" ht="14.25" customHeight="1" x14ac:dyDescent="0.3">
      <c r="F292" s="314"/>
      <c r="G292" s="314"/>
      <c r="I292" s="120"/>
      <c r="Q292" s="122"/>
      <c r="R292" s="122"/>
    </row>
    <row r="293" spans="6:18" ht="14.25" customHeight="1" x14ac:dyDescent="0.3">
      <c r="F293" s="314"/>
      <c r="G293" s="314"/>
      <c r="I293" s="120"/>
      <c r="Q293" s="122"/>
      <c r="R293" s="122"/>
    </row>
    <row r="294" spans="6:18" ht="14.25" customHeight="1" x14ac:dyDescent="0.3">
      <c r="F294" s="314"/>
      <c r="G294" s="314"/>
      <c r="I294" s="120"/>
      <c r="Q294" s="122"/>
      <c r="R294" s="122"/>
    </row>
    <row r="295" spans="6:18" ht="14.25" customHeight="1" x14ac:dyDescent="0.3">
      <c r="F295" s="314"/>
      <c r="G295" s="314"/>
      <c r="I295" s="120"/>
      <c r="Q295" s="122"/>
      <c r="R295" s="122"/>
    </row>
    <row r="296" spans="6:18" ht="14.25" customHeight="1" x14ac:dyDescent="0.3">
      <c r="F296" s="314"/>
      <c r="G296" s="314"/>
      <c r="I296" s="120"/>
      <c r="Q296" s="122"/>
      <c r="R296" s="122"/>
    </row>
    <row r="297" spans="6:18" ht="14.25" customHeight="1" x14ac:dyDescent="0.3">
      <c r="F297" s="314"/>
      <c r="G297" s="314"/>
      <c r="I297" s="120"/>
      <c r="Q297" s="122"/>
      <c r="R297" s="122"/>
    </row>
    <row r="298" spans="6:18" ht="14.25" customHeight="1" x14ac:dyDescent="0.3">
      <c r="F298" s="314"/>
      <c r="G298" s="314"/>
      <c r="I298" s="120"/>
      <c r="Q298" s="122"/>
      <c r="R298" s="122"/>
    </row>
    <row r="299" spans="6:18" ht="14.25" customHeight="1" x14ac:dyDescent="0.3">
      <c r="F299" s="314"/>
      <c r="G299" s="314"/>
      <c r="I299" s="120"/>
      <c r="Q299" s="122"/>
      <c r="R299" s="122"/>
    </row>
    <row r="300" spans="6:18" ht="14.25" customHeight="1" x14ac:dyDescent="0.3">
      <c r="F300" s="314"/>
      <c r="G300" s="314"/>
      <c r="I300" s="120"/>
      <c r="Q300" s="122"/>
      <c r="R300" s="122"/>
    </row>
    <row r="301" spans="6:18" ht="14.25" customHeight="1" x14ac:dyDescent="0.3">
      <c r="F301" s="314"/>
      <c r="G301" s="314"/>
      <c r="I301" s="120"/>
      <c r="Q301" s="122"/>
      <c r="R301" s="122"/>
    </row>
    <row r="302" spans="6:18" ht="14.25" customHeight="1" x14ac:dyDescent="0.3">
      <c r="F302" s="314"/>
      <c r="G302" s="314"/>
      <c r="I302" s="120"/>
      <c r="Q302" s="122"/>
      <c r="R302" s="122"/>
    </row>
    <row r="303" spans="6:18" ht="14.25" customHeight="1" x14ac:dyDescent="0.3">
      <c r="F303" s="314"/>
      <c r="G303" s="314"/>
      <c r="I303" s="120"/>
      <c r="Q303" s="122"/>
      <c r="R303" s="122"/>
    </row>
    <row r="304" spans="6:18" ht="14.25" customHeight="1" x14ac:dyDescent="0.3">
      <c r="F304" s="314"/>
      <c r="G304" s="314"/>
      <c r="I304" s="120"/>
      <c r="Q304" s="122"/>
      <c r="R304" s="122"/>
    </row>
    <row r="305" spans="6:18" ht="14.25" customHeight="1" x14ac:dyDescent="0.3">
      <c r="F305" s="314"/>
      <c r="G305" s="314"/>
      <c r="I305" s="120"/>
      <c r="Q305" s="122"/>
      <c r="R305" s="122"/>
    </row>
    <row r="306" spans="6:18" ht="14.25" customHeight="1" x14ac:dyDescent="0.3">
      <c r="F306" s="314"/>
      <c r="G306" s="314"/>
      <c r="I306" s="120"/>
      <c r="Q306" s="122"/>
      <c r="R306" s="122"/>
    </row>
    <row r="307" spans="6:18" ht="14.25" customHeight="1" x14ac:dyDescent="0.3">
      <c r="F307" s="314"/>
      <c r="G307" s="314"/>
      <c r="I307" s="120"/>
      <c r="Q307" s="122"/>
      <c r="R307" s="122"/>
    </row>
    <row r="308" spans="6:18" ht="14.25" customHeight="1" x14ac:dyDescent="0.3">
      <c r="F308" s="314"/>
      <c r="G308" s="314"/>
      <c r="I308" s="120"/>
      <c r="Q308" s="122"/>
      <c r="R308" s="122"/>
    </row>
    <row r="309" spans="6:18" ht="14.25" customHeight="1" x14ac:dyDescent="0.3">
      <c r="F309" s="314"/>
      <c r="G309" s="314"/>
      <c r="I309" s="120"/>
      <c r="Q309" s="122"/>
      <c r="R309" s="122"/>
    </row>
    <row r="310" spans="6:18" ht="14.25" customHeight="1" x14ac:dyDescent="0.3">
      <c r="F310" s="314"/>
      <c r="G310" s="314"/>
      <c r="I310" s="120"/>
      <c r="Q310" s="122"/>
      <c r="R310" s="122"/>
    </row>
    <row r="311" spans="6:18" ht="14.25" customHeight="1" x14ac:dyDescent="0.3">
      <c r="F311" s="314"/>
      <c r="G311" s="314"/>
      <c r="I311" s="120"/>
      <c r="Q311" s="122"/>
      <c r="R311" s="122"/>
    </row>
    <row r="312" spans="6:18" ht="14.25" customHeight="1" x14ac:dyDescent="0.3">
      <c r="F312" s="314"/>
      <c r="G312" s="314"/>
      <c r="I312" s="120"/>
      <c r="Q312" s="122"/>
      <c r="R312" s="122"/>
    </row>
    <row r="313" spans="6:18" ht="14.25" customHeight="1" x14ac:dyDescent="0.3">
      <c r="F313" s="314"/>
      <c r="G313" s="314"/>
      <c r="I313" s="120"/>
      <c r="Q313" s="122"/>
      <c r="R313" s="122"/>
    </row>
    <row r="314" spans="6:18" ht="14.25" customHeight="1" x14ac:dyDescent="0.3">
      <c r="F314" s="314"/>
      <c r="G314" s="314"/>
      <c r="I314" s="120"/>
      <c r="Q314" s="122"/>
      <c r="R314" s="122"/>
    </row>
    <row r="315" spans="6:18" ht="14.25" customHeight="1" x14ac:dyDescent="0.3">
      <c r="F315" s="314"/>
      <c r="G315" s="314"/>
      <c r="I315" s="120"/>
      <c r="Q315" s="122"/>
      <c r="R315" s="122"/>
    </row>
    <row r="316" spans="6:18" ht="14.25" customHeight="1" x14ac:dyDescent="0.3">
      <c r="F316" s="314"/>
      <c r="G316" s="314"/>
      <c r="I316" s="120"/>
      <c r="Q316" s="122"/>
      <c r="R316" s="122"/>
    </row>
    <row r="317" spans="6:18" ht="14.25" customHeight="1" x14ac:dyDescent="0.3">
      <c r="F317" s="314"/>
      <c r="G317" s="314"/>
      <c r="I317" s="120"/>
      <c r="Q317" s="122"/>
      <c r="R317" s="122"/>
    </row>
    <row r="318" spans="6:18" ht="14.25" customHeight="1" x14ac:dyDescent="0.3">
      <c r="F318" s="314"/>
      <c r="G318" s="314"/>
      <c r="I318" s="120"/>
      <c r="Q318" s="122"/>
      <c r="R318" s="122"/>
    </row>
    <row r="319" spans="6:18" ht="14.25" customHeight="1" x14ac:dyDescent="0.3">
      <c r="F319" s="314"/>
      <c r="G319" s="314"/>
      <c r="I319" s="120"/>
      <c r="Q319" s="122"/>
      <c r="R319" s="122"/>
    </row>
    <row r="320" spans="6:18" ht="14.25" customHeight="1" x14ac:dyDescent="0.3">
      <c r="F320" s="314"/>
      <c r="G320" s="314"/>
      <c r="I320" s="120"/>
      <c r="Q320" s="122"/>
      <c r="R320" s="122"/>
    </row>
    <row r="321" spans="6:18" ht="14.25" customHeight="1" x14ac:dyDescent="0.3">
      <c r="F321" s="314"/>
      <c r="G321" s="314"/>
      <c r="I321" s="120"/>
      <c r="Q321" s="122"/>
      <c r="R321" s="122"/>
    </row>
    <row r="322" spans="6:18" ht="14.25" customHeight="1" x14ac:dyDescent="0.3">
      <c r="F322" s="314"/>
      <c r="G322" s="314"/>
      <c r="I322" s="120"/>
      <c r="Q322" s="122"/>
      <c r="R322" s="122"/>
    </row>
    <row r="323" spans="6:18" ht="14.25" customHeight="1" x14ac:dyDescent="0.3">
      <c r="F323" s="314"/>
      <c r="G323" s="314"/>
      <c r="I323" s="120"/>
      <c r="Q323" s="122"/>
      <c r="R323" s="122"/>
    </row>
    <row r="324" spans="6:18" ht="14.25" customHeight="1" x14ac:dyDescent="0.3">
      <c r="F324" s="314"/>
      <c r="G324" s="314"/>
      <c r="I324" s="120"/>
      <c r="Q324" s="122"/>
      <c r="R324" s="122"/>
    </row>
    <row r="325" spans="6:18" ht="14.25" customHeight="1" x14ac:dyDescent="0.3">
      <c r="F325" s="314"/>
      <c r="G325" s="314"/>
      <c r="I325" s="120"/>
      <c r="Q325" s="122"/>
      <c r="R325" s="122"/>
    </row>
    <row r="326" spans="6:18" ht="14.25" customHeight="1" x14ac:dyDescent="0.3">
      <c r="F326" s="314"/>
      <c r="G326" s="314"/>
      <c r="I326" s="120"/>
      <c r="Q326" s="122"/>
      <c r="R326" s="122"/>
    </row>
    <row r="327" spans="6:18" ht="14.25" customHeight="1" x14ac:dyDescent="0.3">
      <c r="F327" s="314"/>
      <c r="G327" s="314"/>
      <c r="I327" s="120"/>
      <c r="Q327" s="122"/>
      <c r="R327" s="122"/>
    </row>
    <row r="328" spans="6:18" ht="14.25" customHeight="1" x14ac:dyDescent="0.3">
      <c r="F328" s="314"/>
      <c r="G328" s="314"/>
      <c r="I328" s="120"/>
      <c r="Q328" s="122"/>
      <c r="R328" s="122"/>
    </row>
    <row r="329" spans="6:18" ht="14.25" customHeight="1" x14ac:dyDescent="0.3">
      <c r="F329" s="314"/>
      <c r="G329" s="314"/>
      <c r="I329" s="120"/>
      <c r="Q329" s="122"/>
      <c r="R329" s="122"/>
    </row>
    <row r="330" spans="6:18" ht="14.25" customHeight="1" x14ac:dyDescent="0.3">
      <c r="F330" s="314"/>
      <c r="G330" s="314"/>
      <c r="I330" s="120"/>
      <c r="Q330" s="122"/>
      <c r="R330" s="122"/>
    </row>
    <row r="331" spans="6:18" ht="14.25" customHeight="1" x14ac:dyDescent="0.3">
      <c r="F331" s="314"/>
      <c r="G331" s="314"/>
      <c r="I331" s="120"/>
      <c r="Q331" s="122"/>
      <c r="R331" s="122"/>
    </row>
    <row r="332" spans="6:18" ht="14.25" customHeight="1" x14ac:dyDescent="0.3">
      <c r="F332" s="314"/>
      <c r="G332" s="314"/>
      <c r="I332" s="120"/>
      <c r="Q332" s="122"/>
      <c r="R332" s="122"/>
    </row>
    <row r="333" spans="6:18" ht="14.25" customHeight="1" x14ac:dyDescent="0.3">
      <c r="F333" s="314"/>
      <c r="G333" s="314"/>
      <c r="I333" s="120"/>
      <c r="Q333" s="122"/>
      <c r="R333" s="122"/>
    </row>
    <row r="334" spans="6:18" ht="14.25" customHeight="1" x14ac:dyDescent="0.3">
      <c r="F334" s="314"/>
      <c r="G334" s="314"/>
      <c r="I334" s="120"/>
      <c r="Q334" s="122"/>
      <c r="R334" s="122"/>
    </row>
    <row r="335" spans="6:18" ht="14.25" customHeight="1" x14ac:dyDescent="0.3">
      <c r="F335" s="314"/>
      <c r="G335" s="314"/>
      <c r="I335" s="120"/>
      <c r="Q335" s="122"/>
      <c r="R335" s="122"/>
    </row>
    <row r="336" spans="6:18" ht="14.25" customHeight="1" x14ac:dyDescent="0.3">
      <c r="F336" s="314"/>
      <c r="G336" s="314"/>
      <c r="I336" s="120"/>
      <c r="Q336" s="122"/>
      <c r="R336" s="122"/>
    </row>
    <row r="337" spans="6:18" ht="14.25" customHeight="1" x14ac:dyDescent="0.3">
      <c r="F337" s="314"/>
      <c r="G337" s="314"/>
      <c r="I337" s="120"/>
      <c r="Q337" s="122"/>
      <c r="R337" s="122"/>
    </row>
    <row r="338" spans="6:18" ht="14.25" customHeight="1" x14ac:dyDescent="0.3">
      <c r="F338" s="314"/>
      <c r="G338" s="314"/>
      <c r="I338" s="120"/>
      <c r="Q338" s="122"/>
      <c r="R338" s="122"/>
    </row>
    <row r="339" spans="6:18" ht="14.25" customHeight="1" x14ac:dyDescent="0.3">
      <c r="F339" s="314"/>
      <c r="G339" s="314"/>
      <c r="I339" s="120"/>
      <c r="Q339" s="122"/>
      <c r="R339" s="122"/>
    </row>
    <row r="340" spans="6:18" ht="14.25" customHeight="1" x14ac:dyDescent="0.3">
      <c r="F340" s="314"/>
      <c r="G340" s="314"/>
      <c r="I340" s="120"/>
      <c r="Q340" s="122"/>
      <c r="R340" s="122"/>
    </row>
    <row r="341" spans="6:18" ht="14.25" customHeight="1" x14ac:dyDescent="0.3">
      <c r="F341" s="314"/>
      <c r="G341" s="314"/>
      <c r="I341" s="120"/>
      <c r="Q341" s="122"/>
      <c r="R341" s="122"/>
    </row>
    <row r="342" spans="6:18" ht="14.25" customHeight="1" x14ac:dyDescent="0.3">
      <c r="F342" s="314"/>
      <c r="G342" s="314"/>
      <c r="I342" s="120"/>
      <c r="Q342" s="122"/>
      <c r="R342" s="122"/>
    </row>
    <row r="343" spans="6:18" ht="14.25" customHeight="1" x14ac:dyDescent="0.3">
      <c r="F343" s="314"/>
      <c r="G343" s="314"/>
      <c r="I343" s="120"/>
      <c r="Q343" s="122"/>
      <c r="R343" s="122"/>
    </row>
    <row r="344" spans="6:18" ht="14.25" customHeight="1" x14ac:dyDescent="0.3">
      <c r="F344" s="314"/>
      <c r="G344" s="314"/>
      <c r="I344" s="120"/>
      <c r="Q344" s="122"/>
      <c r="R344" s="122"/>
    </row>
    <row r="345" spans="6:18" ht="14.25" customHeight="1" x14ac:dyDescent="0.3">
      <c r="F345" s="314"/>
      <c r="G345" s="314"/>
      <c r="I345" s="120"/>
      <c r="Q345" s="122"/>
      <c r="R345" s="122"/>
    </row>
    <row r="346" spans="6:18" ht="14.25" customHeight="1" x14ac:dyDescent="0.3">
      <c r="F346" s="314"/>
      <c r="G346" s="314"/>
      <c r="I346" s="120"/>
      <c r="Q346" s="122"/>
      <c r="R346" s="122"/>
    </row>
    <row r="347" spans="6:18" ht="14.25" customHeight="1" x14ac:dyDescent="0.3">
      <c r="F347" s="314"/>
      <c r="G347" s="314"/>
      <c r="I347" s="120"/>
      <c r="Q347" s="122"/>
      <c r="R347" s="122"/>
    </row>
    <row r="348" spans="6:18" ht="14.25" customHeight="1" x14ac:dyDescent="0.3">
      <c r="F348" s="314"/>
      <c r="G348" s="314"/>
      <c r="I348" s="120"/>
      <c r="Q348" s="122"/>
      <c r="R348" s="122"/>
    </row>
    <row r="349" spans="6:18" ht="14.25" customHeight="1" x14ac:dyDescent="0.3">
      <c r="F349" s="314"/>
      <c r="G349" s="314"/>
      <c r="I349" s="120"/>
      <c r="Q349" s="122"/>
      <c r="R349" s="122"/>
    </row>
    <row r="350" spans="6:18" ht="14.25" customHeight="1" x14ac:dyDescent="0.3">
      <c r="F350" s="314"/>
      <c r="G350" s="314"/>
      <c r="I350" s="120"/>
      <c r="Q350" s="122"/>
      <c r="R350" s="122"/>
    </row>
    <row r="351" spans="6:18" ht="14.25" customHeight="1" x14ac:dyDescent="0.3">
      <c r="F351" s="314"/>
      <c r="G351" s="314"/>
      <c r="I351" s="120"/>
      <c r="Q351" s="122"/>
      <c r="R351" s="122"/>
    </row>
    <row r="352" spans="6:18" ht="14.25" customHeight="1" x14ac:dyDescent="0.3">
      <c r="F352" s="314"/>
      <c r="G352" s="314"/>
      <c r="I352" s="120"/>
      <c r="Q352" s="122"/>
      <c r="R352" s="122"/>
    </row>
    <row r="353" spans="6:18" ht="14.25" customHeight="1" x14ac:dyDescent="0.3">
      <c r="F353" s="314"/>
      <c r="G353" s="314"/>
      <c r="I353" s="120"/>
      <c r="Q353" s="122"/>
      <c r="R353" s="122"/>
    </row>
    <row r="354" spans="6:18" ht="14.25" customHeight="1" x14ac:dyDescent="0.3">
      <c r="F354" s="314"/>
      <c r="G354" s="314"/>
      <c r="I354" s="120"/>
      <c r="Q354" s="122"/>
      <c r="R354" s="122"/>
    </row>
    <row r="355" spans="6:18" ht="14.25" customHeight="1" x14ac:dyDescent="0.3">
      <c r="F355" s="314"/>
      <c r="G355" s="314"/>
      <c r="I355" s="120"/>
      <c r="Q355" s="122"/>
      <c r="R355" s="122"/>
    </row>
    <row r="356" spans="6:18" ht="14.25" customHeight="1" x14ac:dyDescent="0.3">
      <c r="F356" s="314"/>
      <c r="G356" s="314"/>
      <c r="I356" s="120"/>
      <c r="Q356" s="122"/>
      <c r="R356" s="122"/>
    </row>
    <row r="357" spans="6:18" ht="14.25" customHeight="1" x14ac:dyDescent="0.3">
      <c r="F357" s="314"/>
      <c r="G357" s="314"/>
      <c r="I357" s="120"/>
      <c r="Q357" s="122"/>
      <c r="R357" s="122"/>
    </row>
    <row r="358" spans="6:18" ht="14.25" customHeight="1" x14ac:dyDescent="0.3">
      <c r="F358" s="314"/>
      <c r="G358" s="314"/>
      <c r="I358" s="120"/>
      <c r="Q358" s="122"/>
      <c r="R358" s="122"/>
    </row>
    <row r="359" spans="6:18" ht="14.25" customHeight="1" x14ac:dyDescent="0.3">
      <c r="F359" s="314"/>
      <c r="G359" s="314"/>
      <c r="I359" s="120"/>
      <c r="Q359" s="122"/>
      <c r="R359" s="122"/>
    </row>
    <row r="360" spans="6:18" ht="14.25" customHeight="1" x14ac:dyDescent="0.3">
      <c r="F360" s="314"/>
      <c r="G360" s="314"/>
      <c r="I360" s="120"/>
      <c r="Q360" s="122"/>
      <c r="R360" s="122"/>
    </row>
    <row r="361" spans="6:18" ht="14.25" customHeight="1" x14ac:dyDescent="0.3">
      <c r="F361" s="314"/>
      <c r="G361" s="314"/>
      <c r="I361" s="120"/>
      <c r="Q361" s="122"/>
      <c r="R361" s="122"/>
    </row>
    <row r="362" spans="6:18" ht="14.25" customHeight="1" x14ac:dyDescent="0.3">
      <c r="F362" s="314"/>
      <c r="G362" s="314"/>
      <c r="I362" s="120"/>
      <c r="Q362" s="122"/>
      <c r="R362" s="122"/>
    </row>
    <row r="363" spans="6:18" ht="14.25" customHeight="1" x14ac:dyDescent="0.3">
      <c r="F363" s="314"/>
      <c r="G363" s="314"/>
      <c r="I363" s="120"/>
      <c r="Q363" s="122"/>
      <c r="R363" s="122"/>
    </row>
    <row r="364" spans="6:18" ht="14.25" customHeight="1" x14ac:dyDescent="0.3">
      <c r="F364" s="314"/>
      <c r="G364" s="314"/>
      <c r="I364" s="120"/>
      <c r="Q364" s="122"/>
      <c r="R364" s="122"/>
    </row>
    <row r="365" spans="6:18" ht="14.25" customHeight="1" x14ac:dyDescent="0.3">
      <c r="F365" s="314"/>
      <c r="G365" s="314"/>
      <c r="I365" s="120"/>
      <c r="Q365" s="122"/>
      <c r="R365" s="122"/>
    </row>
    <row r="366" spans="6:18" ht="14.25" customHeight="1" x14ac:dyDescent="0.3">
      <c r="F366" s="314"/>
      <c r="G366" s="314"/>
      <c r="I366" s="120"/>
      <c r="Q366" s="122"/>
      <c r="R366" s="122"/>
    </row>
    <row r="367" spans="6:18" ht="14.25" customHeight="1" x14ac:dyDescent="0.3">
      <c r="F367" s="314"/>
      <c r="G367" s="314"/>
      <c r="I367" s="120"/>
      <c r="Q367" s="122"/>
      <c r="R367" s="122"/>
    </row>
    <row r="368" spans="6:18" ht="14.25" customHeight="1" x14ac:dyDescent="0.3">
      <c r="F368" s="314"/>
      <c r="G368" s="314"/>
      <c r="I368" s="120"/>
      <c r="Q368" s="122"/>
      <c r="R368" s="122"/>
    </row>
    <row r="369" spans="6:18" ht="14.25" customHeight="1" x14ac:dyDescent="0.3">
      <c r="F369" s="314"/>
      <c r="G369" s="314"/>
      <c r="I369" s="120"/>
      <c r="Q369" s="122"/>
      <c r="R369" s="122"/>
    </row>
    <row r="370" spans="6:18" ht="14.25" customHeight="1" x14ac:dyDescent="0.3">
      <c r="F370" s="314"/>
      <c r="G370" s="314"/>
      <c r="I370" s="120"/>
      <c r="Q370" s="122"/>
      <c r="R370" s="122"/>
    </row>
    <row r="371" spans="6:18" ht="14.25" customHeight="1" x14ac:dyDescent="0.3">
      <c r="F371" s="314"/>
      <c r="G371" s="314"/>
      <c r="I371" s="120"/>
      <c r="Q371" s="122"/>
      <c r="R371" s="122"/>
    </row>
    <row r="372" spans="6:18" ht="14.25" customHeight="1" x14ac:dyDescent="0.3">
      <c r="F372" s="314"/>
      <c r="G372" s="314"/>
      <c r="I372" s="120"/>
      <c r="Q372" s="122"/>
      <c r="R372" s="122"/>
    </row>
    <row r="373" spans="6:18" ht="14.25" customHeight="1" x14ac:dyDescent="0.3">
      <c r="F373" s="314"/>
      <c r="G373" s="314"/>
      <c r="I373" s="120"/>
      <c r="Q373" s="122"/>
      <c r="R373" s="122"/>
    </row>
    <row r="374" spans="6:18" ht="14.25" customHeight="1" x14ac:dyDescent="0.3">
      <c r="F374" s="314"/>
      <c r="G374" s="314"/>
      <c r="I374" s="120"/>
      <c r="Q374" s="122"/>
      <c r="R374" s="122"/>
    </row>
    <row r="375" spans="6:18" ht="14.25" customHeight="1" x14ac:dyDescent="0.3">
      <c r="F375" s="314"/>
      <c r="G375" s="314"/>
      <c r="I375" s="120"/>
      <c r="Q375" s="122"/>
      <c r="R375" s="122"/>
    </row>
    <row r="376" spans="6:18" ht="14.25" customHeight="1" x14ac:dyDescent="0.3">
      <c r="F376" s="314"/>
      <c r="G376" s="314"/>
      <c r="I376" s="120"/>
      <c r="Q376" s="122"/>
      <c r="R376" s="122"/>
    </row>
    <row r="377" spans="6:18" ht="14.25" customHeight="1" x14ac:dyDescent="0.3">
      <c r="F377" s="314"/>
      <c r="G377" s="314"/>
      <c r="I377" s="120"/>
      <c r="Q377" s="122"/>
      <c r="R377" s="122"/>
    </row>
    <row r="378" spans="6:18" ht="14.25" customHeight="1" x14ac:dyDescent="0.3">
      <c r="F378" s="314"/>
      <c r="G378" s="314"/>
      <c r="I378" s="120"/>
      <c r="Q378" s="122"/>
      <c r="R378" s="122"/>
    </row>
    <row r="379" spans="6:18" ht="14.25" customHeight="1" x14ac:dyDescent="0.3">
      <c r="F379" s="314"/>
      <c r="G379" s="314"/>
      <c r="I379" s="120"/>
      <c r="Q379" s="122"/>
      <c r="R379" s="122"/>
    </row>
    <row r="380" spans="6:18" ht="14.25" customHeight="1" x14ac:dyDescent="0.3">
      <c r="F380" s="314"/>
      <c r="G380" s="314"/>
      <c r="I380" s="120"/>
      <c r="Q380" s="122"/>
      <c r="R380" s="122"/>
    </row>
    <row r="381" spans="6:18" ht="14.25" customHeight="1" x14ac:dyDescent="0.3">
      <c r="F381" s="314"/>
      <c r="G381" s="314"/>
      <c r="I381" s="120"/>
      <c r="Q381" s="122"/>
      <c r="R381" s="122"/>
    </row>
    <row r="382" spans="6:18" ht="14.25" customHeight="1" x14ac:dyDescent="0.3">
      <c r="F382" s="314"/>
      <c r="G382" s="314"/>
      <c r="I382" s="120"/>
      <c r="Q382" s="122"/>
      <c r="R382" s="122"/>
    </row>
    <row r="383" spans="6:18" ht="14.25" customHeight="1" x14ac:dyDescent="0.3">
      <c r="F383" s="314"/>
      <c r="G383" s="314"/>
      <c r="I383" s="120"/>
      <c r="Q383" s="122"/>
      <c r="R383" s="122"/>
    </row>
    <row r="384" spans="6:18" ht="14.25" customHeight="1" x14ac:dyDescent="0.3">
      <c r="F384" s="314"/>
      <c r="G384" s="314"/>
      <c r="I384" s="120"/>
      <c r="Q384" s="122"/>
      <c r="R384" s="122"/>
    </row>
    <row r="385" spans="6:18" ht="14.25" customHeight="1" x14ac:dyDescent="0.3">
      <c r="F385" s="314"/>
      <c r="G385" s="314"/>
      <c r="I385" s="120"/>
      <c r="Q385" s="122"/>
      <c r="R385" s="122"/>
    </row>
    <row r="386" spans="6:18" ht="14.25" customHeight="1" x14ac:dyDescent="0.3">
      <c r="F386" s="314"/>
      <c r="G386" s="314"/>
      <c r="I386" s="120"/>
      <c r="Q386" s="122"/>
      <c r="R386" s="122"/>
    </row>
    <row r="387" spans="6:18" ht="14.25" customHeight="1" x14ac:dyDescent="0.3">
      <c r="F387" s="314"/>
      <c r="G387" s="314"/>
      <c r="I387" s="120"/>
      <c r="Q387" s="122"/>
      <c r="R387" s="122"/>
    </row>
    <row r="388" spans="6:18" ht="14.25" customHeight="1" x14ac:dyDescent="0.3">
      <c r="F388" s="314"/>
      <c r="G388" s="314"/>
      <c r="I388" s="120"/>
      <c r="Q388" s="122"/>
      <c r="R388" s="122"/>
    </row>
    <row r="389" spans="6:18" ht="14.25" customHeight="1" x14ac:dyDescent="0.3">
      <c r="F389" s="314"/>
      <c r="G389" s="314"/>
      <c r="I389" s="120"/>
      <c r="Q389" s="122"/>
      <c r="R389" s="122"/>
    </row>
    <row r="390" spans="6:18" ht="14.25" customHeight="1" x14ac:dyDescent="0.3">
      <c r="F390" s="314"/>
      <c r="G390" s="314"/>
      <c r="I390" s="120"/>
      <c r="Q390" s="122"/>
      <c r="R390" s="122"/>
    </row>
    <row r="391" spans="6:18" ht="14.25" customHeight="1" x14ac:dyDescent="0.3">
      <c r="F391" s="314"/>
      <c r="G391" s="314"/>
      <c r="I391" s="120"/>
      <c r="Q391" s="122"/>
      <c r="R391" s="122"/>
    </row>
    <row r="392" spans="6:18" ht="14.25" customHeight="1" x14ac:dyDescent="0.3">
      <c r="F392" s="314"/>
      <c r="G392" s="314"/>
      <c r="I392" s="120"/>
      <c r="Q392" s="122"/>
      <c r="R392" s="122"/>
    </row>
    <row r="393" spans="6:18" ht="14.25" customHeight="1" x14ac:dyDescent="0.3">
      <c r="F393" s="314"/>
      <c r="G393" s="314"/>
      <c r="I393" s="120"/>
      <c r="Q393" s="122"/>
      <c r="R393" s="122"/>
    </row>
    <row r="394" spans="6:18" ht="14.25" customHeight="1" x14ac:dyDescent="0.3">
      <c r="F394" s="314"/>
      <c r="G394" s="314"/>
      <c r="I394" s="120"/>
      <c r="Q394" s="122"/>
      <c r="R394" s="122"/>
    </row>
    <row r="395" spans="6:18" ht="14.25" customHeight="1" x14ac:dyDescent="0.3">
      <c r="F395" s="314"/>
      <c r="G395" s="314"/>
      <c r="I395" s="120"/>
      <c r="Q395" s="122"/>
      <c r="R395" s="122"/>
    </row>
    <row r="396" spans="6:18" ht="14.25" customHeight="1" x14ac:dyDescent="0.3">
      <c r="F396" s="314"/>
      <c r="G396" s="314"/>
      <c r="I396" s="120"/>
      <c r="Q396" s="122"/>
      <c r="R396" s="122"/>
    </row>
    <row r="397" spans="6:18" ht="14.25" customHeight="1" x14ac:dyDescent="0.3">
      <c r="F397" s="314"/>
      <c r="G397" s="314"/>
      <c r="I397" s="120"/>
      <c r="Q397" s="122"/>
      <c r="R397" s="122"/>
    </row>
    <row r="398" spans="6:18" ht="14.25" customHeight="1" x14ac:dyDescent="0.3">
      <c r="F398" s="314"/>
      <c r="G398" s="314"/>
      <c r="I398" s="120"/>
      <c r="Q398" s="122"/>
      <c r="R398" s="122"/>
    </row>
    <row r="399" spans="6:18" ht="14.25" customHeight="1" x14ac:dyDescent="0.3">
      <c r="F399" s="314"/>
      <c r="G399" s="314"/>
      <c r="I399" s="120"/>
      <c r="Q399" s="122"/>
      <c r="R399" s="122"/>
    </row>
    <row r="400" spans="6:18" ht="14.25" customHeight="1" x14ac:dyDescent="0.3">
      <c r="F400" s="314"/>
      <c r="G400" s="314"/>
      <c r="I400" s="120"/>
      <c r="Q400" s="122"/>
      <c r="R400" s="122"/>
    </row>
    <row r="401" spans="6:18" ht="14.25" customHeight="1" x14ac:dyDescent="0.3">
      <c r="F401" s="314"/>
      <c r="G401" s="314"/>
      <c r="I401" s="120"/>
      <c r="Q401" s="122"/>
      <c r="R401" s="122"/>
    </row>
    <row r="402" spans="6:18" ht="14.25" customHeight="1" x14ac:dyDescent="0.3">
      <c r="F402" s="314"/>
      <c r="G402" s="314"/>
      <c r="I402" s="120"/>
      <c r="Q402" s="122"/>
      <c r="R402" s="122"/>
    </row>
    <row r="403" spans="6:18" ht="14.25" customHeight="1" x14ac:dyDescent="0.3">
      <c r="F403" s="314"/>
      <c r="G403" s="314"/>
      <c r="I403" s="120"/>
      <c r="Q403" s="122"/>
      <c r="R403" s="122"/>
    </row>
    <row r="404" spans="6:18" ht="14.25" customHeight="1" x14ac:dyDescent="0.3">
      <c r="F404" s="314"/>
      <c r="G404" s="314"/>
      <c r="I404" s="120"/>
      <c r="Q404" s="122"/>
      <c r="R404" s="122"/>
    </row>
    <row r="405" spans="6:18" ht="14.25" customHeight="1" x14ac:dyDescent="0.3">
      <c r="F405" s="314"/>
      <c r="G405" s="314"/>
      <c r="I405" s="120"/>
      <c r="Q405" s="122"/>
      <c r="R405" s="122"/>
    </row>
    <row r="406" spans="6:18" ht="14.25" customHeight="1" x14ac:dyDescent="0.3">
      <c r="F406" s="314"/>
      <c r="G406" s="314"/>
      <c r="I406" s="120"/>
      <c r="Q406" s="122"/>
      <c r="R406" s="122"/>
    </row>
    <row r="407" spans="6:18" ht="14.25" customHeight="1" x14ac:dyDescent="0.3">
      <c r="F407" s="314"/>
      <c r="G407" s="314"/>
      <c r="I407" s="120"/>
      <c r="Q407" s="122"/>
      <c r="R407" s="122"/>
    </row>
    <row r="408" spans="6:18" ht="14.25" customHeight="1" x14ac:dyDescent="0.3">
      <c r="F408" s="314"/>
      <c r="G408" s="314"/>
      <c r="I408" s="120"/>
      <c r="Q408" s="122"/>
      <c r="R408" s="122"/>
    </row>
    <row r="409" spans="6:18" ht="14.25" customHeight="1" x14ac:dyDescent="0.3">
      <c r="F409" s="314"/>
      <c r="G409" s="314"/>
      <c r="I409" s="120"/>
      <c r="Q409" s="122"/>
      <c r="R409" s="122"/>
    </row>
    <row r="410" spans="6:18" ht="14.25" customHeight="1" x14ac:dyDescent="0.3">
      <c r="F410" s="314"/>
      <c r="G410" s="314"/>
      <c r="I410" s="120"/>
      <c r="Q410" s="122"/>
      <c r="R410" s="122"/>
    </row>
    <row r="411" spans="6:18" ht="14.25" customHeight="1" x14ac:dyDescent="0.3">
      <c r="F411" s="314"/>
      <c r="G411" s="314"/>
      <c r="I411" s="120"/>
      <c r="Q411" s="122"/>
      <c r="R411" s="122"/>
    </row>
    <row r="412" spans="6:18" ht="14.25" customHeight="1" x14ac:dyDescent="0.3">
      <c r="F412" s="314"/>
      <c r="G412" s="314"/>
      <c r="I412" s="120"/>
      <c r="Q412" s="122"/>
      <c r="R412" s="122"/>
    </row>
    <row r="413" spans="6:18" ht="14.25" customHeight="1" x14ac:dyDescent="0.3">
      <c r="F413" s="314"/>
      <c r="G413" s="314"/>
      <c r="I413" s="120"/>
      <c r="Q413" s="122"/>
      <c r="R413" s="122"/>
    </row>
    <row r="414" spans="6:18" ht="14.25" customHeight="1" x14ac:dyDescent="0.3">
      <c r="F414" s="314"/>
      <c r="G414" s="314"/>
      <c r="I414" s="120"/>
      <c r="Q414" s="122"/>
      <c r="R414" s="122"/>
    </row>
    <row r="415" spans="6:18" ht="14.25" customHeight="1" x14ac:dyDescent="0.3">
      <c r="F415" s="314"/>
      <c r="G415" s="314"/>
      <c r="I415" s="120"/>
      <c r="Q415" s="122"/>
      <c r="R415" s="122"/>
    </row>
    <row r="416" spans="6:18" ht="14.25" customHeight="1" x14ac:dyDescent="0.3">
      <c r="F416" s="314"/>
      <c r="G416" s="314"/>
      <c r="I416" s="120"/>
      <c r="Q416" s="122"/>
      <c r="R416" s="122"/>
    </row>
    <row r="417" spans="6:18" ht="14.25" customHeight="1" x14ac:dyDescent="0.3">
      <c r="F417" s="314"/>
      <c r="G417" s="314"/>
      <c r="I417" s="120"/>
      <c r="Q417" s="122"/>
      <c r="R417" s="122"/>
    </row>
    <row r="418" spans="6:18" ht="14.25" customHeight="1" x14ac:dyDescent="0.3">
      <c r="F418" s="314"/>
      <c r="G418" s="314"/>
      <c r="I418" s="120"/>
      <c r="Q418" s="122"/>
      <c r="R418" s="122"/>
    </row>
    <row r="419" spans="6:18" ht="14.25" customHeight="1" x14ac:dyDescent="0.3">
      <c r="F419" s="314"/>
      <c r="G419" s="314"/>
      <c r="I419" s="120"/>
      <c r="Q419" s="122"/>
      <c r="R419" s="122"/>
    </row>
    <row r="420" spans="6:18" ht="14.25" customHeight="1" x14ac:dyDescent="0.3">
      <c r="F420" s="314"/>
      <c r="G420" s="314"/>
      <c r="I420" s="120"/>
      <c r="Q420" s="122"/>
      <c r="R420" s="122"/>
    </row>
    <row r="421" spans="6:18" ht="14.25" customHeight="1" x14ac:dyDescent="0.3">
      <c r="F421" s="314"/>
      <c r="G421" s="314"/>
      <c r="I421" s="120"/>
      <c r="Q421" s="122"/>
      <c r="R421" s="122"/>
    </row>
    <row r="422" spans="6:18" ht="14.25" customHeight="1" x14ac:dyDescent="0.3">
      <c r="F422" s="314"/>
      <c r="G422" s="314"/>
      <c r="I422" s="120"/>
      <c r="Q422" s="122"/>
      <c r="R422" s="122"/>
    </row>
    <row r="423" spans="6:18" ht="14.25" customHeight="1" x14ac:dyDescent="0.3">
      <c r="F423" s="314"/>
      <c r="G423" s="314"/>
      <c r="I423" s="120"/>
      <c r="Q423" s="122"/>
      <c r="R423" s="122"/>
    </row>
    <row r="424" spans="6:18" ht="14.25" customHeight="1" x14ac:dyDescent="0.3">
      <c r="F424" s="314"/>
      <c r="G424" s="314"/>
      <c r="I424" s="120"/>
      <c r="Q424" s="122"/>
      <c r="R424" s="122"/>
    </row>
    <row r="425" spans="6:18" ht="14.25" customHeight="1" x14ac:dyDescent="0.3">
      <c r="F425" s="314"/>
      <c r="G425" s="314"/>
      <c r="I425" s="120"/>
      <c r="Q425" s="122"/>
      <c r="R425" s="122"/>
    </row>
    <row r="426" spans="6:18" ht="14.25" customHeight="1" x14ac:dyDescent="0.3">
      <c r="F426" s="314"/>
      <c r="G426" s="314"/>
      <c r="I426" s="120"/>
      <c r="Q426" s="122"/>
      <c r="R426" s="122"/>
    </row>
    <row r="427" spans="6:18" ht="14.25" customHeight="1" x14ac:dyDescent="0.3">
      <c r="F427" s="314"/>
      <c r="G427" s="314"/>
      <c r="I427" s="120"/>
      <c r="Q427" s="122"/>
      <c r="R427" s="122"/>
    </row>
    <row r="428" spans="6:18" ht="14.25" customHeight="1" x14ac:dyDescent="0.3">
      <c r="F428" s="314"/>
      <c r="G428" s="314"/>
      <c r="I428" s="120"/>
      <c r="Q428" s="122"/>
      <c r="R428" s="122"/>
    </row>
    <row r="429" spans="6:18" ht="14.25" customHeight="1" x14ac:dyDescent="0.3">
      <c r="F429" s="314"/>
      <c r="G429" s="314"/>
      <c r="I429" s="120"/>
      <c r="Q429" s="122"/>
      <c r="R429" s="122"/>
    </row>
    <row r="430" spans="6:18" ht="14.25" customHeight="1" x14ac:dyDescent="0.3">
      <c r="F430" s="314"/>
      <c r="G430" s="314"/>
      <c r="I430" s="120"/>
      <c r="Q430" s="122"/>
      <c r="R430" s="122"/>
    </row>
    <row r="431" spans="6:18" ht="14.25" customHeight="1" x14ac:dyDescent="0.3">
      <c r="F431" s="314"/>
      <c r="G431" s="314"/>
      <c r="I431" s="120"/>
      <c r="Q431" s="122"/>
      <c r="R431" s="122"/>
    </row>
    <row r="432" spans="6:18" ht="14.25" customHeight="1" x14ac:dyDescent="0.3">
      <c r="F432" s="314"/>
      <c r="G432" s="314"/>
      <c r="I432" s="120"/>
      <c r="Q432" s="122"/>
      <c r="R432" s="122"/>
    </row>
    <row r="433" spans="6:18" ht="14.25" customHeight="1" x14ac:dyDescent="0.3">
      <c r="F433" s="314"/>
      <c r="G433" s="314"/>
      <c r="I433" s="120"/>
      <c r="Q433" s="122"/>
      <c r="R433" s="122"/>
    </row>
    <row r="434" spans="6:18" ht="14.25" customHeight="1" x14ac:dyDescent="0.3">
      <c r="F434" s="314"/>
      <c r="G434" s="314"/>
      <c r="I434" s="120"/>
      <c r="Q434" s="122"/>
      <c r="R434" s="122"/>
    </row>
    <row r="435" spans="6:18" ht="14.25" customHeight="1" x14ac:dyDescent="0.3">
      <c r="F435" s="314"/>
      <c r="G435" s="314"/>
      <c r="I435" s="120"/>
      <c r="Q435" s="122"/>
      <c r="R435" s="122"/>
    </row>
    <row r="436" spans="6:18" ht="14.25" customHeight="1" x14ac:dyDescent="0.3">
      <c r="F436" s="314"/>
      <c r="G436" s="314"/>
      <c r="I436" s="120"/>
      <c r="Q436" s="122"/>
      <c r="R436" s="122"/>
    </row>
    <row r="437" spans="6:18" ht="14.25" customHeight="1" x14ac:dyDescent="0.3">
      <c r="F437" s="314"/>
      <c r="G437" s="314"/>
      <c r="I437" s="120"/>
      <c r="Q437" s="122"/>
      <c r="R437" s="122"/>
    </row>
    <row r="438" spans="6:18" ht="14.25" customHeight="1" x14ac:dyDescent="0.3">
      <c r="F438" s="314"/>
      <c r="G438" s="314"/>
      <c r="I438" s="120"/>
      <c r="Q438" s="122"/>
      <c r="R438" s="122"/>
    </row>
    <row r="439" spans="6:18" ht="14.25" customHeight="1" x14ac:dyDescent="0.3">
      <c r="F439" s="314"/>
      <c r="G439" s="314"/>
      <c r="I439" s="120"/>
      <c r="Q439" s="122"/>
      <c r="R439" s="122"/>
    </row>
    <row r="440" spans="6:18" ht="14.25" customHeight="1" x14ac:dyDescent="0.3">
      <c r="F440" s="314"/>
      <c r="G440" s="314"/>
      <c r="I440" s="120"/>
      <c r="Q440" s="122"/>
      <c r="R440" s="122"/>
    </row>
    <row r="441" spans="6:18" ht="14.25" customHeight="1" x14ac:dyDescent="0.3">
      <c r="F441" s="314"/>
      <c r="G441" s="314"/>
      <c r="I441" s="120"/>
      <c r="Q441" s="122"/>
      <c r="R441" s="122"/>
    </row>
    <row r="442" spans="6:18" ht="14.25" customHeight="1" x14ac:dyDescent="0.3">
      <c r="F442" s="314"/>
      <c r="G442" s="314"/>
      <c r="I442" s="120"/>
      <c r="Q442" s="122"/>
      <c r="R442" s="122"/>
    </row>
    <row r="443" spans="6:18" ht="14.25" customHeight="1" x14ac:dyDescent="0.3">
      <c r="F443" s="314"/>
      <c r="G443" s="314"/>
      <c r="I443" s="120"/>
      <c r="Q443" s="122"/>
      <c r="R443" s="122"/>
    </row>
    <row r="444" spans="6:18" ht="14.25" customHeight="1" x14ac:dyDescent="0.3">
      <c r="F444" s="314"/>
      <c r="G444" s="314"/>
      <c r="I444" s="120"/>
      <c r="Q444" s="122"/>
      <c r="R444" s="122"/>
    </row>
    <row r="445" spans="6:18" ht="14.25" customHeight="1" x14ac:dyDescent="0.3">
      <c r="F445" s="314"/>
      <c r="G445" s="314"/>
      <c r="I445" s="120"/>
      <c r="Q445" s="122"/>
      <c r="R445" s="122"/>
    </row>
    <row r="446" spans="6:18" ht="14.25" customHeight="1" x14ac:dyDescent="0.3">
      <c r="F446" s="314"/>
      <c r="G446" s="314"/>
      <c r="I446" s="120"/>
      <c r="Q446" s="122"/>
      <c r="R446" s="122"/>
    </row>
    <row r="447" spans="6:18" ht="14.25" customHeight="1" x14ac:dyDescent="0.3">
      <c r="F447" s="314"/>
      <c r="G447" s="314"/>
      <c r="I447" s="120"/>
      <c r="Q447" s="122"/>
      <c r="R447" s="122"/>
    </row>
    <row r="448" spans="6:18" ht="14.25" customHeight="1" x14ac:dyDescent="0.3">
      <c r="F448" s="314"/>
      <c r="G448" s="314"/>
      <c r="I448" s="120"/>
      <c r="Q448" s="122"/>
      <c r="R448" s="122"/>
    </row>
    <row r="449" spans="6:18" ht="14.25" customHeight="1" x14ac:dyDescent="0.3">
      <c r="F449" s="314"/>
      <c r="G449" s="314"/>
      <c r="I449" s="120"/>
      <c r="Q449" s="122"/>
      <c r="R449" s="122"/>
    </row>
    <row r="450" spans="6:18" ht="14.25" customHeight="1" x14ac:dyDescent="0.3">
      <c r="F450" s="314"/>
      <c r="G450" s="314"/>
      <c r="I450" s="120"/>
      <c r="Q450" s="122"/>
      <c r="R450" s="122"/>
    </row>
    <row r="451" spans="6:18" ht="14.25" customHeight="1" x14ac:dyDescent="0.3">
      <c r="F451" s="314"/>
      <c r="G451" s="314"/>
      <c r="I451" s="120"/>
      <c r="Q451" s="122"/>
      <c r="R451" s="122"/>
    </row>
    <row r="452" spans="6:18" ht="14.25" customHeight="1" x14ac:dyDescent="0.3">
      <c r="F452" s="314"/>
      <c r="G452" s="314"/>
      <c r="I452" s="120"/>
      <c r="Q452" s="122"/>
      <c r="R452" s="122"/>
    </row>
    <row r="453" spans="6:18" ht="14.25" customHeight="1" x14ac:dyDescent="0.3">
      <c r="F453" s="314"/>
      <c r="G453" s="314"/>
      <c r="I453" s="120"/>
      <c r="Q453" s="122"/>
      <c r="R453" s="122"/>
    </row>
    <row r="454" spans="6:18" ht="14.25" customHeight="1" x14ac:dyDescent="0.3">
      <c r="F454" s="314"/>
      <c r="G454" s="314"/>
      <c r="I454" s="120"/>
      <c r="Q454" s="122"/>
      <c r="R454" s="122"/>
    </row>
    <row r="455" spans="6:18" ht="14.25" customHeight="1" x14ac:dyDescent="0.3">
      <c r="F455" s="314"/>
      <c r="G455" s="314"/>
      <c r="I455" s="120"/>
      <c r="Q455" s="122"/>
      <c r="R455" s="122"/>
    </row>
    <row r="456" spans="6:18" ht="14.25" customHeight="1" x14ac:dyDescent="0.3">
      <c r="F456" s="314"/>
      <c r="G456" s="314"/>
      <c r="I456" s="120"/>
      <c r="Q456" s="122"/>
      <c r="R456" s="122"/>
    </row>
    <row r="457" spans="6:18" ht="14.25" customHeight="1" x14ac:dyDescent="0.3">
      <c r="F457" s="314"/>
      <c r="G457" s="314"/>
      <c r="I457" s="120"/>
      <c r="Q457" s="122"/>
      <c r="R457" s="122"/>
    </row>
    <row r="458" spans="6:18" ht="14.25" customHeight="1" x14ac:dyDescent="0.3">
      <c r="F458" s="314"/>
      <c r="G458" s="314"/>
      <c r="I458" s="120"/>
      <c r="Q458" s="122"/>
      <c r="R458" s="122"/>
    </row>
    <row r="459" spans="6:18" ht="14.25" customHeight="1" x14ac:dyDescent="0.3">
      <c r="F459" s="314"/>
      <c r="G459" s="314"/>
      <c r="I459" s="120"/>
      <c r="Q459" s="122"/>
      <c r="R459" s="122"/>
    </row>
    <row r="460" spans="6:18" ht="14.25" customHeight="1" x14ac:dyDescent="0.3">
      <c r="F460" s="314"/>
      <c r="G460" s="314"/>
      <c r="I460" s="120"/>
      <c r="Q460" s="122"/>
      <c r="R460" s="122"/>
    </row>
    <row r="461" spans="6:18" ht="14.25" customHeight="1" x14ac:dyDescent="0.3">
      <c r="F461" s="314"/>
      <c r="G461" s="314"/>
      <c r="I461" s="120"/>
      <c r="Q461" s="122"/>
      <c r="R461" s="122"/>
    </row>
    <row r="462" spans="6:18" ht="14.25" customHeight="1" x14ac:dyDescent="0.3">
      <c r="F462" s="314"/>
      <c r="G462" s="314"/>
      <c r="I462" s="120"/>
      <c r="Q462" s="122"/>
      <c r="R462" s="122"/>
    </row>
    <row r="463" spans="6:18" ht="14.25" customHeight="1" x14ac:dyDescent="0.3">
      <c r="F463" s="314"/>
      <c r="G463" s="314"/>
      <c r="I463" s="120"/>
      <c r="Q463" s="122"/>
      <c r="R463" s="122"/>
    </row>
    <row r="464" spans="6:18" ht="14.25" customHeight="1" x14ac:dyDescent="0.3">
      <c r="F464" s="314"/>
      <c r="G464" s="314"/>
      <c r="I464" s="120"/>
      <c r="Q464" s="122"/>
      <c r="R464" s="122"/>
    </row>
    <row r="465" spans="6:18" ht="14.25" customHeight="1" x14ac:dyDescent="0.3">
      <c r="F465" s="314"/>
      <c r="G465" s="314"/>
      <c r="I465" s="120"/>
      <c r="Q465" s="122"/>
      <c r="R465" s="122"/>
    </row>
    <row r="466" spans="6:18" ht="14.25" customHeight="1" x14ac:dyDescent="0.3">
      <c r="F466" s="314"/>
      <c r="G466" s="314"/>
      <c r="I466" s="120"/>
      <c r="Q466" s="122"/>
      <c r="R466" s="122"/>
    </row>
    <row r="467" spans="6:18" ht="14.25" customHeight="1" x14ac:dyDescent="0.3">
      <c r="F467" s="314"/>
      <c r="G467" s="314"/>
      <c r="I467" s="120"/>
      <c r="Q467" s="122"/>
      <c r="R467" s="122"/>
    </row>
    <row r="468" spans="6:18" ht="14.25" customHeight="1" x14ac:dyDescent="0.3">
      <c r="F468" s="314"/>
      <c r="G468" s="314"/>
      <c r="I468" s="120"/>
      <c r="Q468" s="122"/>
      <c r="R468" s="122"/>
    </row>
    <row r="469" spans="6:18" ht="14.25" customHeight="1" x14ac:dyDescent="0.3">
      <c r="F469" s="314"/>
      <c r="G469" s="314"/>
      <c r="I469" s="120"/>
      <c r="Q469" s="122"/>
      <c r="R469" s="122"/>
    </row>
    <row r="470" spans="6:18" ht="14.25" customHeight="1" x14ac:dyDescent="0.3">
      <c r="F470" s="314"/>
      <c r="G470" s="314"/>
      <c r="I470" s="120"/>
      <c r="Q470" s="122"/>
      <c r="R470" s="122"/>
    </row>
    <row r="471" spans="6:18" ht="14.25" customHeight="1" x14ac:dyDescent="0.3">
      <c r="F471" s="314"/>
      <c r="G471" s="314"/>
      <c r="I471" s="120"/>
      <c r="Q471" s="122"/>
      <c r="R471" s="122"/>
    </row>
    <row r="472" spans="6:18" ht="14.25" customHeight="1" x14ac:dyDescent="0.3">
      <c r="F472" s="314"/>
      <c r="G472" s="314"/>
      <c r="I472" s="120"/>
      <c r="Q472" s="122"/>
      <c r="R472" s="122"/>
    </row>
    <row r="473" spans="6:18" ht="14.25" customHeight="1" x14ac:dyDescent="0.3">
      <c r="F473" s="314"/>
      <c r="G473" s="314"/>
      <c r="I473" s="120"/>
      <c r="Q473" s="122"/>
      <c r="R473" s="122"/>
    </row>
    <row r="474" spans="6:18" ht="14.25" customHeight="1" x14ac:dyDescent="0.3">
      <c r="F474" s="314"/>
      <c r="G474" s="314"/>
      <c r="I474" s="120"/>
      <c r="Q474" s="122"/>
      <c r="R474" s="122"/>
    </row>
    <row r="475" spans="6:18" ht="14.25" customHeight="1" x14ac:dyDescent="0.3">
      <c r="F475" s="314"/>
      <c r="G475" s="314"/>
      <c r="I475" s="120"/>
      <c r="Q475" s="122"/>
      <c r="R475" s="122"/>
    </row>
    <row r="476" spans="6:18" ht="14.25" customHeight="1" x14ac:dyDescent="0.3">
      <c r="F476" s="314"/>
      <c r="G476" s="314"/>
      <c r="I476" s="120"/>
      <c r="Q476" s="122"/>
      <c r="R476" s="122"/>
    </row>
    <row r="477" spans="6:18" ht="14.25" customHeight="1" x14ac:dyDescent="0.3">
      <c r="F477" s="314"/>
      <c r="G477" s="314"/>
      <c r="I477" s="120"/>
      <c r="Q477" s="122"/>
      <c r="R477" s="122"/>
    </row>
    <row r="478" spans="6:18" ht="14.25" customHeight="1" x14ac:dyDescent="0.3">
      <c r="F478" s="314"/>
      <c r="G478" s="314"/>
      <c r="I478" s="120"/>
      <c r="Q478" s="122"/>
      <c r="R478" s="122"/>
    </row>
    <row r="479" spans="6:18" ht="14.25" customHeight="1" x14ac:dyDescent="0.3">
      <c r="F479" s="314"/>
      <c r="G479" s="314"/>
      <c r="I479" s="120"/>
      <c r="Q479" s="122"/>
      <c r="R479" s="122"/>
    </row>
    <row r="480" spans="6:18" ht="14.25" customHeight="1" x14ac:dyDescent="0.3">
      <c r="F480" s="314"/>
      <c r="G480" s="314"/>
      <c r="I480" s="120"/>
      <c r="Q480" s="122"/>
      <c r="R480" s="122"/>
    </row>
    <row r="481" spans="6:18" ht="14.25" customHeight="1" x14ac:dyDescent="0.3">
      <c r="F481" s="314"/>
      <c r="G481" s="314"/>
      <c r="I481" s="120"/>
      <c r="Q481" s="122"/>
      <c r="R481" s="122"/>
    </row>
    <row r="482" spans="6:18" ht="14.25" customHeight="1" x14ac:dyDescent="0.3">
      <c r="F482" s="314"/>
      <c r="G482" s="314"/>
      <c r="I482" s="120"/>
      <c r="Q482" s="122"/>
      <c r="R482" s="122"/>
    </row>
    <row r="483" spans="6:18" ht="14.25" customHeight="1" x14ac:dyDescent="0.3">
      <c r="F483" s="314"/>
      <c r="G483" s="314"/>
      <c r="I483" s="120"/>
      <c r="Q483" s="122"/>
      <c r="R483" s="122"/>
    </row>
    <row r="484" spans="6:18" ht="14.25" customHeight="1" x14ac:dyDescent="0.3">
      <c r="F484" s="314"/>
      <c r="G484" s="314"/>
      <c r="I484" s="120"/>
      <c r="Q484" s="122"/>
      <c r="R484" s="122"/>
    </row>
    <row r="485" spans="6:18" ht="14.25" customHeight="1" x14ac:dyDescent="0.3">
      <c r="F485" s="314"/>
      <c r="G485" s="314"/>
      <c r="I485" s="120"/>
      <c r="Q485" s="122"/>
      <c r="R485" s="122"/>
    </row>
    <row r="486" spans="6:18" ht="14.25" customHeight="1" x14ac:dyDescent="0.3">
      <c r="F486" s="314"/>
      <c r="G486" s="314"/>
      <c r="I486" s="120"/>
      <c r="Q486" s="122"/>
      <c r="R486" s="122"/>
    </row>
    <row r="487" spans="6:18" ht="14.25" customHeight="1" x14ac:dyDescent="0.3">
      <c r="F487" s="314"/>
      <c r="G487" s="314"/>
      <c r="I487" s="120"/>
      <c r="Q487" s="122"/>
      <c r="R487" s="122"/>
    </row>
    <row r="488" spans="6:18" ht="14.25" customHeight="1" x14ac:dyDescent="0.3">
      <c r="F488" s="314"/>
      <c r="G488" s="314"/>
      <c r="I488" s="120"/>
      <c r="Q488" s="122"/>
      <c r="R488" s="122"/>
    </row>
    <row r="489" spans="6:18" ht="14.25" customHeight="1" x14ac:dyDescent="0.3">
      <c r="F489" s="314"/>
      <c r="G489" s="314"/>
      <c r="I489" s="120"/>
      <c r="Q489" s="122"/>
      <c r="R489" s="122"/>
    </row>
    <row r="490" spans="6:18" ht="14.25" customHeight="1" x14ac:dyDescent="0.3">
      <c r="F490" s="314"/>
      <c r="G490" s="314"/>
      <c r="I490" s="120"/>
      <c r="Q490" s="122"/>
      <c r="R490" s="122"/>
    </row>
    <row r="491" spans="6:18" ht="14.25" customHeight="1" x14ac:dyDescent="0.3">
      <c r="F491" s="314"/>
      <c r="G491" s="314"/>
      <c r="I491" s="120"/>
      <c r="Q491" s="122"/>
      <c r="R491" s="122"/>
    </row>
    <row r="492" spans="6:18" ht="14.25" customHeight="1" x14ac:dyDescent="0.3">
      <c r="F492" s="314"/>
      <c r="G492" s="314"/>
      <c r="I492" s="120"/>
      <c r="Q492" s="122"/>
      <c r="R492" s="122"/>
    </row>
    <row r="493" spans="6:18" ht="14.25" customHeight="1" x14ac:dyDescent="0.3">
      <c r="F493" s="314"/>
      <c r="G493" s="314"/>
      <c r="I493" s="120"/>
      <c r="Q493" s="122"/>
      <c r="R493" s="122"/>
    </row>
    <row r="494" spans="6:18" ht="14.25" customHeight="1" x14ac:dyDescent="0.3">
      <c r="F494" s="314"/>
      <c r="G494" s="314"/>
      <c r="I494" s="120"/>
      <c r="Q494" s="122"/>
      <c r="R494" s="122"/>
    </row>
    <row r="495" spans="6:18" ht="14.25" customHeight="1" x14ac:dyDescent="0.3">
      <c r="F495" s="314"/>
      <c r="G495" s="314"/>
      <c r="I495" s="120"/>
      <c r="Q495" s="122"/>
      <c r="R495" s="122"/>
    </row>
    <row r="496" spans="6:18" ht="14.25" customHeight="1" x14ac:dyDescent="0.3">
      <c r="F496" s="314"/>
      <c r="G496" s="314"/>
      <c r="I496" s="120"/>
      <c r="Q496" s="122"/>
      <c r="R496" s="122"/>
    </row>
    <row r="497" spans="6:18" ht="14.25" customHeight="1" x14ac:dyDescent="0.3">
      <c r="F497" s="314"/>
      <c r="G497" s="314"/>
      <c r="I497" s="120"/>
      <c r="Q497" s="122"/>
      <c r="R497" s="122"/>
    </row>
    <row r="498" spans="6:18" ht="14.25" customHeight="1" x14ac:dyDescent="0.3">
      <c r="F498" s="314"/>
      <c r="G498" s="314"/>
      <c r="I498" s="120"/>
      <c r="Q498" s="122"/>
      <c r="R498" s="122"/>
    </row>
    <row r="499" spans="6:18" ht="14.25" customHeight="1" x14ac:dyDescent="0.3">
      <c r="F499" s="314"/>
      <c r="G499" s="314"/>
      <c r="I499" s="120"/>
      <c r="Q499" s="122"/>
      <c r="R499" s="122"/>
    </row>
    <row r="500" spans="6:18" ht="14.25" customHeight="1" x14ac:dyDescent="0.3">
      <c r="F500" s="314"/>
      <c r="G500" s="314"/>
      <c r="I500" s="120"/>
      <c r="Q500" s="122"/>
      <c r="R500" s="122"/>
    </row>
    <row r="501" spans="6:18" ht="14.25" customHeight="1" x14ac:dyDescent="0.3">
      <c r="F501" s="314"/>
      <c r="G501" s="314"/>
      <c r="I501" s="120"/>
      <c r="Q501" s="122"/>
      <c r="R501" s="122"/>
    </row>
    <row r="502" spans="6:18" ht="14.25" customHeight="1" x14ac:dyDescent="0.3">
      <c r="F502" s="314"/>
      <c r="G502" s="314"/>
      <c r="I502" s="120"/>
      <c r="Q502" s="122"/>
      <c r="R502" s="122"/>
    </row>
    <row r="503" spans="6:18" ht="14.25" customHeight="1" x14ac:dyDescent="0.3">
      <c r="F503" s="314"/>
      <c r="G503" s="314"/>
      <c r="I503" s="120"/>
      <c r="Q503" s="122"/>
      <c r="R503" s="122"/>
    </row>
    <row r="504" spans="6:18" ht="14.25" customHeight="1" x14ac:dyDescent="0.3">
      <c r="F504" s="314"/>
      <c r="G504" s="314"/>
      <c r="I504" s="120"/>
      <c r="Q504" s="122"/>
      <c r="R504" s="122"/>
    </row>
    <row r="505" spans="6:18" ht="14.25" customHeight="1" x14ac:dyDescent="0.3">
      <c r="F505" s="314"/>
      <c r="G505" s="314"/>
      <c r="I505" s="120"/>
      <c r="Q505" s="122"/>
      <c r="R505" s="122"/>
    </row>
    <row r="506" spans="6:18" ht="14.25" customHeight="1" x14ac:dyDescent="0.3">
      <c r="F506" s="314"/>
      <c r="G506" s="314"/>
      <c r="I506" s="120"/>
      <c r="Q506" s="122"/>
      <c r="R506" s="122"/>
    </row>
    <row r="507" spans="6:18" ht="14.25" customHeight="1" x14ac:dyDescent="0.3">
      <c r="F507" s="314"/>
      <c r="G507" s="314"/>
      <c r="I507" s="120"/>
      <c r="Q507" s="122"/>
      <c r="R507" s="122"/>
    </row>
    <row r="508" spans="6:18" ht="14.25" customHeight="1" x14ac:dyDescent="0.3">
      <c r="F508" s="314"/>
      <c r="G508" s="314"/>
      <c r="I508" s="120"/>
      <c r="Q508" s="122"/>
      <c r="R508" s="122"/>
    </row>
    <row r="509" spans="6:18" ht="14.25" customHeight="1" x14ac:dyDescent="0.3">
      <c r="F509" s="314"/>
      <c r="G509" s="314"/>
      <c r="I509" s="120"/>
      <c r="Q509" s="122"/>
      <c r="R509" s="122"/>
    </row>
    <row r="510" spans="6:18" ht="14.25" customHeight="1" x14ac:dyDescent="0.3">
      <c r="F510" s="314"/>
      <c r="G510" s="314"/>
      <c r="I510" s="120"/>
      <c r="Q510" s="122"/>
      <c r="R510" s="122"/>
    </row>
    <row r="511" spans="6:18" ht="14.25" customHeight="1" x14ac:dyDescent="0.3">
      <c r="F511" s="314"/>
      <c r="G511" s="314"/>
      <c r="I511" s="120"/>
      <c r="Q511" s="122"/>
      <c r="R511" s="122"/>
    </row>
    <row r="512" spans="6:18" ht="14.25" customHeight="1" x14ac:dyDescent="0.3">
      <c r="F512" s="314"/>
      <c r="G512" s="314"/>
      <c r="I512" s="120"/>
      <c r="Q512" s="122"/>
      <c r="R512" s="122"/>
    </row>
    <row r="513" spans="6:18" ht="14.25" customHeight="1" x14ac:dyDescent="0.3">
      <c r="F513" s="314"/>
      <c r="G513" s="314"/>
      <c r="I513" s="120"/>
      <c r="Q513" s="122"/>
      <c r="R513" s="122"/>
    </row>
    <row r="514" spans="6:18" ht="14.25" customHeight="1" x14ac:dyDescent="0.3">
      <c r="F514" s="314"/>
      <c r="G514" s="314"/>
      <c r="I514" s="120"/>
      <c r="Q514" s="122"/>
      <c r="R514" s="122"/>
    </row>
    <row r="515" spans="6:18" ht="14.25" customHeight="1" x14ac:dyDescent="0.3">
      <c r="F515" s="314"/>
      <c r="G515" s="314"/>
      <c r="I515" s="120"/>
      <c r="Q515" s="122"/>
      <c r="R515" s="122"/>
    </row>
    <row r="516" spans="6:18" ht="14.25" customHeight="1" x14ac:dyDescent="0.3">
      <c r="F516" s="314"/>
      <c r="G516" s="314"/>
      <c r="I516" s="120"/>
      <c r="Q516" s="122"/>
      <c r="R516" s="122"/>
    </row>
    <row r="517" spans="6:18" ht="14.25" customHeight="1" x14ac:dyDescent="0.3">
      <c r="F517" s="314"/>
      <c r="G517" s="314"/>
      <c r="I517" s="120"/>
      <c r="Q517" s="122"/>
      <c r="R517" s="122"/>
    </row>
    <row r="518" spans="6:18" ht="14.25" customHeight="1" x14ac:dyDescent="0.3">
      <c r="F518" s="314"/>
      <c r="G518" s="314"/>
      <c r="I518" s="120"/>
      <c r="Q518" s="122"/>
      <c r="R518" s="122"/>
    </row>
    <row r="519" spans="6:18" ht="14.25" customHeight="1" x14ac:dyDescent="0.3">
      <c r="F519" s="314"/>
      <c r="G519" s="314"/>
      <c r="I519" s="120"/>
      <c r="Q519" s="122"/>
      <c r="R519" s="122"/>
    </row>
    <row r="520" spans="6:18" ht="14.25" customHeight="1" x14ac:dyDescent="0.3">
      <c r="F520" s="314"/>
      <c r="G520" s="314"/>
      <c r="I520" s="120"/>
      <c r="Q520" s="122"/>
      <c r="R520" s="122"/>
    </row>
    <row r="521" spans="6:18" ht="14.25" customHeight="1" x14ac:dyDescent="0.3">
      <c r="F521" s="314"/>
      <c r="G521" s="314"/>
      <c r="I521" s="120"/>
      <c r="Q521" s="122"/>
      <c r="R521" s="122"/>
    </row>
    <row r="522" spans="6:18" ht="14.25" customHeight="1" x14ac:dyDescent="0.3">
      <c r="F522" s="314"/>
      <c r="G522" s="314"/>
      <c r="I522" s="120"/>
      <c r="Q522" s="122"/>
      <c r="R522" s="122"/>
    </row>
    <row r="523" spans="6:18" ht="14.25" customHeight="1" x14ac:dyDescent="0.3">
      <c r="F523" s="314"/>
      <c r="G523" s="314"/>
      <c r="I523" s="120"/>
      <c r="Q523" s="122"/>
      <c r="R523" s="122"/>
    </row>
    <row r="524" spans="6:18" ht="14.25" customHeight="1" x14ac:dyDescent="0.3">
      <c r="F524" s="314"/>
      <c r="G524" s="314"/>
      <c r="I524" s="120"/>
      <c r="Q524" s="122"/>
      <c r="R524" s="122"/>
    </row>
    <row r="525" spans="6:18" ht="14.25" customHeight="1" x14ac:dyDescent="0.3">
      <c r="F525" s="314"/>
      <c r="G525" s="314"/>
      <c r="I525" s="120"/>
      <c r="Q525" s="122"/>
      <c r="R525" s="122"/>
    </row>
    <row r="526" spans="6:18" ht="14.25" customHeight="1" x14ac:dyDescent="0.3">
      <c r="F526" s="314"/>
      <c r="G526" s="314"/>
      <c r="I526" s="120"/>
      <c r="Q526" s="122"/>
      <c r="R526" s="122"/>
    </row>
    <row r="527" spans="6:18" ht="14.25" customHeight="1" x14ac:dyDescent="0.3">
      <c r="F527" s="314"/>
      <c r="G527" s="314"/>
      <c r="I527" s="120"/>
      <c r="Q527" s="122"/>
      <c r="R527" s="122"/>
    </row>
    <row r="528" spans="6:18" ht="14.25" customHeight="1" x14ac:dyDescent="0.3">
      <c r="F528" s="314"/>
      <c r="G528" s="314"/>
      <c r="I528" s="120"/>
      <c r="Q528" s="122"/>
      <c r="R528" s="122"/>
    </row>
    <row r="529" spans="6:18" ht="14.25" customHeight="1" x14ac:dyDescent="0.3">
      <c r="F529" s="314"/>
      <c r="G529" s="314"/>
      <c r="I529" s="120"/>
      <c r="Q529" s="122"/>
      <c r="R529" s="122"/>
    </row>
    <row r="530" spans="6:18" ht="14.25" customHeight="1" x14ac:dyDescent="0.3">
      <c r="F530" s="314"/>
      <c r="G530" s="314"/>
      <c r="I530" s="120"/>
      <c r="Q530" s="122"/>
      <c r="R530" s="122"/>
    </row>
    <row r="531" spans="6:18" ht="14.25" customHeight="1" x14ac:dyDescent="0.3">
      <c r="F531" s="314"/>
      <c r="G531" s="314"/>
      <c r="I531" s="120"/>
      <c r="Q531" s="122"/>
      <c r="R531" s="122"/>
    </row>
    <row r="532" spans="6:18" ht="14.25" customHeight="1" x14ac:dyDescent="0.3">
      <c r="F532" s="314"/>
      <c r="G532" s="314"/>
      <c r="I532" s="120"/>
      <c r="Q532" s="122"/>
      <c r="R532" s="122"/>
    </row>
    <row r="533" spans="6:18" ht="14.25" customHeight="1" x14ac:dyDescent="0.3">
      <c r="F533" s="314"/>
      <c r="G533" s="314"/>
      <c r="I533" s="120"/>
      <c r="Q533" s="122"/>
      <c r="R533" s="122"/>
    </row>
    <row r="534" spans="6:18" ht="14.25" customHeight="1" x14ac:dyDescent="0.3">
      <c r="F534" s="314"/>
      <c r="G534" s="314"/>
      <c r="I534" s="120"/>
      <c r="Q534" s="122"/>
      <c r="R534" s="122"/>
    </row>
    <row r="535" spans="6:18" ht="14.25" customHeight="1" x14ac:dyDescent="0.3">
      <c r="F535" s="314"/>
      <c r="G535" s="314"/>
      <c r="I535" s="120"/>
      <c r="Q535" s="122"/>
      <c r="R535" s="122"/>
    </row>
    <row r="536" spans="6:18" ht="14.25" customHeight="1" x14ac:dyDescent="0.3">
      <c r="F536" s="314"/>
      <c r="G536" s="314"/>
      <c r="I536" s="120"/>
      <c r="Q536" s="122"/>
      <c r="R536" s="122"/>
    </row>
    <row r="537" spans="6:18" ht="14.25" customHeight="1" x14ac:dyDescent="0.3">
      <c r="F537" s="314"/>
      <c r="G537" s="314"/>
      <c r="I537" s="120"/>
      <c r="Q537" s="122"/>
      <c r="R537" s="122"/>
    </row>
    <row r="538" spans="6:18" ht="14.25" customHeight="1" x14ac:dyDescent="0.3">
      <c r="F538" s="314"/>
      <c r="G538" s="314"/>
      <c r="I538" s="120"/>
      <c r="Q538" s="122"/>
      <c r="R538" s="122"/>
    </row>
    <row r="539" spans="6:18" ht="14.25" customHeight="1" x14ac:dyDescent="0.3">
      <c r="F539" s="314"/>
      <c r="G539" s="314"/>
      <c r="I539" s="120"/>
      <c r="Q539" s="122"/>
      <c r="R539" s="122"/>
    </row>
    <row r="540" spans="6:18" ht="14.25" customHeight="1" x14ac:dyDescent="0.3">
      <c r="F540" s="314"/>
      <c r="G540" s="314"/>
      <c r="I540" s="120"/>
      <c r="Q540" s="122"/>
      <c r="R540" s="122"/>
    </row>
    <row r="541" spans="6:18" ht="14.25" customHeight="1" x14ac:dyDescent="0.3">
      <c r="F541" s="314"/>
      <c r="G541" s="314"/>
      <c r="I541" s="120"/>
      <c r="Q541" s="122"/>
      <c r="R541" s="122"/>
    </row>
    <row r="542" spans="6:18" ht="14.25" customHeight="1" x14ac:dyDescent="0.3">
      <c r="F542" s="314"/>
      <c r="G542" s="314"/>
      <c r="I542" s="120"/>
      <c r="Q542" s="122"/>
      <c r="R542" s="122"/>
    </row>
    <row r="543" spans="6:18" ht="14.25" customHeight="1" x14ac:dyDescent="0.3">
      <c r="F543" s="314"/>
      <c r="G543" s="314"/>
      <c r="I543" s="120"/>
      <c r="Q543" s="122"/>
      <c r="R543" s="122"/>
    </row>
    <row r="544" spans="6:18" ht="14.25" customHeight="1" x14ac:dyDescent="0.3">
      <c r="F544" s="314"/>
      <c r="G544" s="314"/>
      <c r="I544" s="120"/>
      <c r="Q544" s="122"/>
      <c r="R544" s="122"/>
    </row>
    <row r="545" spans="6:18" ht="14.25" customHeight="1" x14ac:dyDescent="0.3">
      <c r="F545" s="314"/>
      <c r="G545" s="314"/>
      <c r="I545" s="120"/>
      <c r="Q545" s="122"/>
      <c r="R545" s="122"/>
    </row>
    <row r="546" spans="6:18" ht="14.25" customHeight="1" x14ac:dyDescent="0.3">
      <c r="F546" s="314"/>
      <c r="G546" s="314"/>
      <c r="I546" s="120"/>
      <c r="Q546" s="122"/>
      <c r="R546" s="122"/>
    </row>
    <row r="547" spans="6:18" ht="14.25" customHeight="1" x14ac:dyDescent="0.3">
      <c r="F547" s="314"/>
      <c r="G547" s="314"/>
      <c r="I547" s="120"/>
      <c r="Q547" s="122"/>
      <c r="R547" s="122"/>
    </row>
    <row r="548" spans="6:18" ht="14.25" customHeight="1" x14ac:dyDescent="0.3">
      <c r="F548" s="314"/>
      <c r="G548" s="314"/>
      <c r="I548" s="120"/>
      <c r="Q548" s="122"/>
      <c r="R548" s="122"/>
    </row>
    <row r="549" spans="6:18" ht="14.25" customHeight="1" x14ac:dyDescent="0.3">
      <c r="F549" s="314"/>
      <c r="G549" s="314"/>
      <c r="I549" s="120"/>
      <c r="Q549" s="122"/>
      <c r="R549" s="122"/>
    </row>
    <row r="550" spans="6:18" ht="14.25" customHeight="1" x14ac:dyDescent="0.3">
      <c r="F550" s="314"/>
      <c r="G550" s="314"/>
      <c r="I550" s="120"/>
      <c r="Q550" s="122"/>
      <c r="R550" s="122"/>
    </row>
    <row r="551" spans="6:18" ht="14.25" customHeight="1" x14ac:dyDescent="0.3">
      <c r="F551" s="314"/>
      <c r="G551" s="314"/>
      <c r="I551" s="120"/>
      <c r="Q551" s="122"/>
      <c r="R551" s="122"/>
    </row>
    <row r="552" spans="6:18" ht="14.25" customHeight="1" x14ac:dyDescent="0.3">
      <c r="F552" s="314"/>
      <c r="G552" s="314"/>
      <c r="I552" s="120"/>
      <c r="Q552" s="122"/>
      <c r="R552" s="122"/>
    </row>
    <row r="553" spans="6:18" ht="14.25" customHeight="1" x14ac:dyDescent="0.3">
      <c r="F553" s="314"/>
      <c r="G553" s="314"/>
      <c r="I553" s="120"/>
      <c r="Q553" s="122"/>
      <c r="R553" s="122"/>
    </row>
    <row r="554" spans="6:18" ht="14.25" customHeight="1" x14ac:dyDescent="0.3">
      <c r="F554" s="314"/>
      <c r="G554" s="314"/>
      <c r="I554" s="120"/>
      <c r="Q554" s="122"/>
      <c r="R554" s="122"/>
    </row>
    <row r="555" spans="6:18" ht="14.25" customHeight="1" x14ac:dyDescent="0.3">
      <c r="F555" s="314"/>
      <c r="G555" s="314"/>
      <c r="I555" s="120"/>
      <c r="Q555" s="122"/>
      <c r="R555" s="122"/>
    </row>
    <row r="556" spans="6:18" ht="14.25" customHeight="1" x14ac:dyDescent="0.3">
      <c r="F556" s="314"/>
      <c r="G556" s="314"/>
      <c r="I556" s="120"/>
      <c r="Q556" s="122"/>
      <c r="R556" s="122"/>
    </row>
    <row r="557" spans="6:18" ht="14.25" customHeight="1" x14ac:dyDescent="0.3">
      <c r="F557" s="314"/>
      <c r="G557" s="314"/>
      <c r="I557" s="120"/>
      <c r="Q557" s="122"/>
      <c r="R557" s="122"/>
    </row>
    <row r="558" spans="6:18" ht="14.25" customHeight="1" x14ac:dyDescent="0.3">
      <c r="F558" s="314"/>
      <c r="G558" s="314"/>
      <c r="I558" s="120"/>
      <c r="Q558" s="122"/>
      <c r="R558" s="122"/>
    </row>
    <row r="559" spans="6:18" ht="14.25" customHeight="1" x14ac:dyDescent="0.3">
      <c r="F559" s="314"/>
      <c r="G559" s="314"/>
      <c r="I559" s="120"/>
      <c r="Q559" s="122"/>
      <c r="R559" s="122"/>
    </row>
    <row r="560" spans="6:18" ht="14.25" customHeight="1" x14ac:dyDescent="0.3">
      <c r="F560" s="314"/>
      <c r="G560" s="314"/>
      <c r="I560" s="120"/>
      <c r="Q560" s="122"/>
      <c r="R560" s="122"/>
    </row>
    <row r="561" spans="6:18" ht="14.25" customHeight="1" x14ac:dyDescent="0.3">
      <c r="F561" s="314"/>
      <c r="G561" s="314"/>
      <c r="I561" s="120"/>
      <c r="Q561" s="122"/>
      <c r="R561" s="122"/>
    </row>
    <row r="562" spans="6:18" ht="14.25" customHeight="1" x14ac:dyDescent="0.3">
      <c r="F562" s="314"/>
      <c r="G562" s="314"/>
      <c r="I562" s="120"/>
      <c r="Q562" s="122"/>
      <c r="R562" s="122"/>
    </row>
    <row r="563" spans="6:18" ht="14.25" customHeight="1" x14ac:dyDescent="0.3">
      <c r="F563" s="314"/>
      <c r="G563" s="314"/>
      <c r="I563" s="120"/>
      <c r="Q563" s="122"/>
      <c r="R563" s="122"/>
    </row>
    <row r="564" spans="6:18" ht="14.25" customHeight="1" x14ac:dyDescent="0.3">
      <c r="F564" s="314"/>
      <c r="G564" s="314"/>
      <c r="I564" s="120"/>
      <c r="Q564" s="122"/>
      <c r="R564" s="122"/>
    </row>
    <row r="565" spans="6:18" ht="14.25" customHeight="1" x14ac:dyDescent="0.3">
      <c r="F565" s="314"/>
      <c r="G565" s="314"/>
      <c r="I565" s="120"/>
      <c r="Q565" s="122"/>
      <c r="R565" s="122"/>
    </row>
    <row r="566" spans="6:18" ht="14.25" customHeight="1" x14ac:dyDescent="0.3">
      <c r="F566" s="314"/>
      <c r="G566" s="314"/>
      <c r="I566" s="120"/>
      <c r="Q566" s="122"/>
      <c r="R566" s="122"/>
    </row>
    <row r="567" spans="6:18" ht="14.25" customHeight="1" x14ac:dyDescent="0.3">
      <c r="F567" s="314"/>
      <c r="G567" s="314"/>
      <c r="I567" s="120"/>
      <c r="Q567" s="122"/>
      <c r="R567" s="122"/>
    </row>
    <row r="568" spans="6:18" ht="14.25" customHeight="1" x14ac:dyDescent="0.3">
      <c r="F568" s="314"/>
      <c r="G568" s="314"/>
      <c r="I568" s="120"/>
      <c r="Q568" s="122"/>
      <c r="R568" s="122"/>
    </row>
    <row r="569" spans="6:18" ht="14.25" customHeight="1" x14ac:dyDescent="0.3">
      <c r="F569" s="314"/>
      <c r="G569" s="314"/>
      <c r="I569" s="120"/>
      <c r="Q569" s="122"/>
      <c r="R569" s="122"/>
    </row>
    <row r="570" spans="6:18" ht="14.25" customHeight="1" x14ac:dyDescent="0.3">
      <c r="F570" s="314"/>
      <c r="G570" s="314"/>
      <c r="I570" s="120"/>
      <c r="Q570" s="122"/>
      <c r="R570" s="122"/>
    </row>
    <row r="571" spans="6:18" ht="14.25" customHeight="1" x14ac:dyDescent="0.3">
      <c r="F571" s="314"/>
      <c r="G571" s="314"/>
      <c r="I571" s="120"/>
      <c r="Q571" s="122"/>
      <c r="R571" s="122"/>
    </row>
    <row r="572" spans="6:18" ht="14.25" customHeight="1" x14ac:dyDescent="0.3">
      <c r="F572" s="314"/>
      <c r="G572" s="314"/>
      <c r="I572" s="120"/>
      <c r="Q572" s="122"/>
      <c r="R572" s="122"/>
    </row>
    <row r="573" spans="6:18" ht="14.25" customHeight="1" x14ac:dyDescent="0.3">
      <c r="F573" s="314"/>
      <c r="G573" s="314"/>
      <c r="I573" s="120"/>
      <c r="Q573" s="122"/>
      <c r="R573" s="122"/>
    </row>
    <row r="574" spans="6:18" ht="14.25" customHeight="1" x14ac:dyDescent="0.3">
      <c r="F574" s="314"/>
      <c r="G574" s="314"/>
      <c r="I574" s="120"/>
      <c r="Q574" s="122"/>
      <c r="R574" s="122"/>
    </row>
    <row r="575" spans="6:18" ht="14.25" customHeight="1" x14ac:dyDescent="0.3">
      <c r="F575" s="314"/>
      <c r="G575" s="314"/>
      <c r="I575" s="120"/>
      <c r="Q575" s="122"/>
      <c r="R575" s="122"/>
    </row>
    <row r="576" spans="6:18" ht="14.25" customHeight="1" x14ac:dyDescent="0.3">
      <c r="F576" s="314"/>
      <c r="G576" s="314"/>
      <c r="I576" s="120"/>
      <c r="Q576" s="122"/>
      <c r="R576" s="122"/>
    </row>
    <row r="577" spans="6:18" ht="14.25" customHeight="1" x14ac:dyDescent="0.3">
      <c r="F577" s="314"/>
      <c r="G577" s="314"/>
      <c r="I577" s="120"/>
      <c r="Q577" s="122"/>
      <c r="R577" s="122"/>
    </row>
    <row r="578" spans="6:18" ht="14.25" customHeight="1" x14ac:dyDescent="0.3">
      <c r="F578" s="314"/>
      <c r="G578" s="314"/>
      <c r="I578" s="120"/>
      <c r="Q578" s="122"/>
      <c r="R578" s="122"/>
    </row>
    <row r="579" spans="6:18" ht="14.25" customHeight="1" x14ac:dyDescent="0.3">
      <c r="F579" s="314"/>
      <c r="G579" s="314"/>
      <c r="I579" s="120"/>
      <c r="Q579" s="122"/>
      <c r="R579" s="122"/>
    </row>
    <row r="580" spans="6:18" ht="14.25" customHeight="1" x14ac:dyDescent="0.3">
      <c r="F580" s="314"/>
      <c r="G580" s="314"/>
      <c r="I580" s="120"/>
      <c r="Q580" s="122"/>
      <c r="R580" s="122"/>
    </row>
    <row r="581" spans="6:18" ht="14.25" customHeight="1" x14ac:dyDescent="0.3">
      <c r="F581" s="314"/>
      <c r="G581" s="314"/>
      <c r="I581" s="120"/>
      <c r="Q581" s="122"/>
      <c r="R581" s="122"/>
    </row>
    <row r="582" spans="6:18" ht="14.25" customHeight="1" x14ac:dyDescent="0.3">
      <c r="F582" s="314"/>
      <c r="G582" s="314"/>
      <c r="I582" s="120"/>
      <c r="Q582" s="122"/>
      <c r="R582" s="122"/>
    </row>
    <row r="583" spans="6:18" ht="14.25" customHeight="1" x14ac:dyDescent="0.3">
      <c r="F583" s="314"/>
      <c r="G583" s="314"/>
      <c r="I583" s="120"/>
      <c r="Q583" s="122"/>
      <c r="R583" s="122"/>
    </row>
    <row r="584" spans="6:18" ht="14.25" customHeight="1" x14ac:dyDescent="0.3">
      <c r="F584" s="314"/>
      <c r="G584" s="314"/>
      <c r="I584" s="120"/>
      <c r="Q584" s="122"/>
      <c r="R584" s="122"/>
    </row>
    <row r="585" spans="6:18" ht="14.25" customHeight="1" x14ac:dyDescent="0.3">
      <c r="F585" s="314"/>
      <c r="G585" s="314"/>
      <c r="I585" s="120"/>
      <c r="Q585" s="122"/>
      <c r="R585" s="122"/>
    </row>
    <row r="586" spans="6:18" ht="14.25" customHeight="1" x14ac:dyDescent="0.3">
      <c r="F586" s="314"/>
      <c r="G586" s="314"/>
      <c r="I586" s="120"/>
      <c r="Q586" s="122"/>
      <c r="R586" s="122"/>
    </row>
    <row r="587" spans="6:18" ht="14.25" customHeight="1" x14ac:dyDescent="0.3">
      <c r="F587" s="314"/>
      <c r="G587" s="314"/>
      <c r="I587" s="120"/>
      <c r="Q587" s="122"/>
      <c r="R587" s="122"/>
    </row>
    <row r="588" spans="6:18" ht="14.25" customHeight="1" x14ac:dyDescent="0.3">
      <c r="F588" s="314"/>
      <c r="G588" s="314"/>
      <c r="I588" s="120"/>
      <c r="Q588" s="122"/>
      <c r="R588" s="122"/>
    </row>
    <row r="589" spans="6:18" ht="14.25" customHeight="1" x14ac:dyDescent="0.3">
      <c r="F589" s="314"/>
      <c r="G589" s="314"/>
      <c r="I589" s="120"/>
      <c r="Q589" s="122"/>
      <c r="R589" s="122"/>
    </row>
    <row r="590" spans="6:18" ht="14.25" customHeight="1" x14ac:dyDescent="0.3">
      <c r="F590" s="314"/>
      <c r="G590" s="314"/>
      <c r="I590" s="120"/>
      <c r="Q590" s="122"/>
      <c r="R590" s="122"/>
    </row>
    <row r="591" spans="6:18" ht="14.25" customHeight="1" x14ac:dyDescent="0.3">
      <c r="F591" s="314"/>
      <c r="G591" s="314"/>
      <c r="I591" s="120"/>
      <c r="Q591" s="122"/>
      <c r="R591" s="122"/>
    </row>
    <row r="592" spans="6:18" ht="14.25" customHeight="1" x14ac:dyDescent="0.3">
      <c r="F592" s="314"/>
      <c r="G592" s="314"/>
      <c r="I592" s="120"/>
      <c r="Q592" s="122"/>
      <c r="R592" s="122"/>
    </row>
    <row r="593" spans="6:18" ht="14.25" customHeight="1" x14ac:dyDescent="0.3">
      <c r="F593" s="314"/>
      <c r="G593" s="314"/>
      <c r="I593" s="120"/>
      <c r="Q593" s="122"/>
      <c r="R593" s="122"/>
    </row>
    <row r="594" spans="6:18" ht="14.25" customHeight="1" x14ac:dyDescent="0.3">
      <c r="F594" s="314"/>
      <c r="G594" s="314"/>
      <c r="I594" s="120"/>
      <c r="Q594" s="122"/>
      <c r="R594" s="122"/>
    </row>
    <row r="595" spans="6:18" ht="14.25" customHeight="1" x14ac:dyDescent="0.3">
      <c r="F595" s="314"/>
      <c r="G595" s="314"/>
      <c r="I595" s="120"/>
      <c r="Q595" s="122"/>
      <c r="R595" s="122"/>
    </row>
    <row r="596" spans="6:18" ht="14.25" customHeight="1" x14ac:dyDescent="0.3">
      <c r="F596" s="314"/>
      <c r="G596" s="314"/>
      <c r="I596" s="120"/>
      <c r="Q596" s="122"/>
      <c r="R596" s="122"/>
    </row>
    <row r="597" spans="6:18" ht="14.25" customHeight="1" x14ac:dyDescent="0.3">
      <c r="F597" s="314"/>
      <c r="G597" s="314"/>
      <c r="I597" s="120"/>
      <c r="Q597" s="122"/>
      <c r="R597" s="122"/>
    </row>
    <row r="598" spans="6:18" ht="14.25" customHeight="1" x14ac:dyDescent="0.3">
      <c r="F598" s="314"/>
      <c r="G598" s="314"/>
      <c r="I598" s="120"/>
      <c r="Q598" s="122"/>
      <c r="R598" s="122"/>
    </row>
    <row r="599" spans="6:18" ht="14.25" customHeight="1" x14ac:dyDescent="0.3">
      <c r="F599" s="314"/>
      <c r="G599" s="314"/>
      <c r="I599" s="120"/>
      <c r="Q599" s="122"/>
      <c r="R599" s="122"/>
    </row>
    <row r="600" spans="6:18" ht="14.25" customHeight="1" x14ac:dyDescent="0.3">
      <c r="F600" s="314"/>
      <c r="G600" s="314"/>
      <c r="I600" s="120"/>
      <c r="Q600" s="122"/>
      <c r="R600" s="122"/>
    </row>
    <row r="601" spans="6:18" ht="14.25" customHeight="1" x14ac:dyDescent="0.3">
      <c r="F601" s="314"/>
      <c r="G601" s="314"/>
      <c r="I601" s="120"/>
      <c r="Q601" s="122"/>
      <c r="R601" s="122"/>
    </row>
    <row r="602" spans="6:18" ht="14.25" customHeight="1" x14ac:dyDescent="0.3">
      <c r="F602" s="314"/>
      <c r="G602" s="314"/>
      <c r="I602" s="120"/>
      <c r="Q602" s="122"/>
      <c r="R602" s="122"/>
    </row>
    <row r="603" spans="6:18" ht="14.25" customHeight="1" x14ac:dyDescent="0.3">
      <c r="F603" s="314"/>
      <c r="G603" s="314"/>
      <c r="I603" s="120"/>
      <c r="Q603" s="122"/>
      <c r="R603" s="122"/>
    </row>
    <row r="604" spans="6:18" ht="14.25" customHeight="1" x14ac:dyDescent="0.3">
      <c r="F604" s="314"/>
      <c r="G604" s="314"/>
      <c r="I604" s="120"/>
      <c r="Q604" s="122"/>
      <c r="R604" s="122"/>
    </row>
    <row r="605" spans="6:18" ht="14.25" customHeight="1" x14ac:dyDescent="0.3">
      <c r="F605" s="314"/>
      <c r="G605" s="314"/>
      <c r="I605" s="120"/>
      <c r="Q605" s="122"/>
      <c r="R605" s="122"/>
    </row>
    <row r="606" spans="6:18" ht="14.25" customHeight="1" x14ac:dyDescent="0.3">
      <c r="F606" s="314"/>
      <c r="G606" s="314"/>
      <c r="I606" s="120"/>
      <c r="Q606" s="122"/>
      <c r="R606" s="122"/>
    </row>
    <row r="607" spans="6:18" ht="14.25" customHeight="1" x14ac:dyDescent="0.3">
      <c r="F607" s="314"/>
      <c r="G607" s="314"/>
      <c r="I607" s="120"/>
      <c r="Q607" s="122"/>
      <c r="R607" s="122"/>
    </row>
    <row r="608" spans="6:18" ht="14.25" customHeight="1" x14ac:dyDescent="0.3">
      <c r="F608" s="314"/>
      <c r="G608" s="314"/>
      <c r="I608" s="120"/>
      <c r="Q608" s="122"/>
      <c r="R608" s="122"/>
    </row>
    <row r="609" spans="6:18" ht="14.25" customHeight="1" x14ac:dyDescent="0.3">
      <c r="F609" s="314"/>
      <c r="G609" s="314"/>
      <c r="I609" s="120"/>
      <c r="Q609" s="122"/>
      <c r="R609" s="122"/>
    </row>
    <row r="610" spans="6:18" ht="14.25" customHeight="1" x14ac:dyDescent="0.3">
      <c r="F610" s="314"/>
      <c r="G610" s="314"/>
      <c r="I610" s="120"/>
      <c r="Q610" s="122"/>
      <c r="R610" s="122"/>
    </row>
    <row r="611" spans="6:18" ht="14.25" customHeight="1" x14ac:dyDescent="0.3">
      <c r="F611" s="314"/>
      <c r="G611" s="314"/>
      <c r="I611" s="120"/>
      <c r="Q611" s="122"/>
      <c r="R611" s="122"/>
    </row>
    <row r="612" spans="6:18" ht="14.25" customHeight="1" x14ac:dyDescent="0.3">
      <c r="F612" s="314"/>
      <c r="G612" s="314"/>
      <c r="I612" s="120"/>
      <c r="Q612" s="122"/>
      <c r="R612" s="122"/>
    </row>
    <row r="613" spans="6:18" ht="14.25" customHeight="1" x14ac:dyDescent="0.3">
      <c r="F613" s="314"/>
      <c r="G613" s="314"/>
      <c r="I613" s="120"/>
      <c r="Q613" s="122"/>
      <c r="R613" s="122"/>
    </row>
    <row r="614" spans="6:18" ht="14.25" customHeight="1" x14ac:dyDescent="0.3">
      <c r="F614" s="314"/>
      <c r="G614" s="314"/>
      <c r="I614" s="120"/>
      <c r="Q614" s="122"/>
      <c r="R614" s="122"/>
    </row>
    <row r="615" spans="6:18" ht="14.25" customHeight="1" x14ac:dyDescent="0.3">
      <c r="F615" s="314"/>
      <c r="G615" s="314"/>
      <c r="I615" s="120"/>
      <c r="Q615" s="122"/>
      <c r="R615" s="122"/>
    </row>
    <row r="616" spans="6:18" ht="14.25" customHeight="1" x14ac:dyDescent="0.3">
      <c r="F616" s="314"/>
      <c r="G616" s="314"/>
      <c r="I616" s="120"/>
      <c r="Q616" s="122"/>
      <c r="R616" s="122"/>
    </row>
    <row r="617" spans="6:18" ht="14.25" customHeight="1" x14ac:dyDescent="0.3">
      <c r="F617" s="314"/>
      <c r="G617" s="314"/>
      <c r="I617" s="120"/>
      <c r="Q617" s="122"/>
      <c r="R617" s="122"/>
    </row>
    <row r="618" spans="6:18" ht="14.25" customHeight="1" x14ac:dyDescent="0.3">
      <c r="F618" s="314"/>
      <c r="G618" s="314"/>
      <c r="I618" s="120"/>
      <c r="Q618" s="122"/>
      <c r="R618" s="122"/>
    </row>
    <row r="619" spans="6:18" ht="14.25" customHeight="1" x14ac:dyDescent="0.3">
      <c r="F619" s="314"/>
      <c r="G619" s="314"/>
      <c r="I619" s="120"/>
      <c r="Q619" s="122"/>
      <c r="R619" s="122"/>
    </row>
    <row r="620" spans="6:18" ht="14.25" customHeight="1" x14ac:dyDescent="0.3">
      <c r="F620" s="314"/>
      <c r="G620" s="314"/>
      <c r="I620" s="120"/>
      <c r="Q620" s="122"/>
      <c r="R620" s="122"/>
    </row>
    <row r="621" spans="6:18" ht="14.25" customHeight="1" x14ac:dyDescent="0.3">
      <c r="F621" s="314"/>
      <c r="G621" s="314"/>
      <c r="I621" s="120"/>
      <c r="Q621" s="122"/>
      <c r="R621" s="122"/>
    </row>
    <row r="622" spans="6:18" ht="14.25" customHeight="1" x14ac:dyDescent="0.3">
      <c r="F622" s="314"/>
      <c r="G622" s="314"/>
      <c r="I622" s="120"/>
      <c r="Q622" s="122"/>
      <c r="R622" s="122"/>
    </row>
    <row r="623" spans="6:18" ht="14.25" customHeight="1" x14ac:dyDescent="0.3">
      <c r="F623" s="314"/>
      <c r="G623" s="314"/>
      <c r="I623" s="120"/>
      <c r="Q623" s="122"/>
      <c r="R623" s="122"/>
    </row>
    <row r="624" spans="6:18" ht="14.25" customHeight="1" x14ac:dyDescent="0.3">
      <c r="F624" s="314"/>
      <c r="G624" s="314"/>
      <c r="I624" s="120"/>
      <c r="Q624" s="122"/>
      <c r="R624" s="122"/>
    </row>
    <row r="625" spans="6:18" ht="14.25" customHeight="1" x14ac:dyDescent="0.3">
      <c r="F625" s="314"/>
      <c r="G625" s="314"/>
      <c r="I625" s="120"/>
      <c r="Q625" s="122"/>
      <c r="R625" s="122"/>
    </row>
    <row r="626" spans="6:18" ht="14.25" customHeight="1" x14ac:dyDescent="0.3">
      <c r="F626" s="314"/>
      <c r="G626" s="314"/>
      <c r="I626" s="120"/>
      <c r="Q626" s="122"/>
      <c r="R626" s="122"/>
    </row>
    <row r="627" spans="6:18" ht="14.25" customHeight="1" x14ac:dyDescent="0.3">
      <c r="F627" s="314"/>
      <c r="G627" s="314"/>
      <c r="I627" s="120"/>
      <c r="Q627" s="122"/>
      <c r="R627" s="122"/>
    </row>
    <row r="628" spans="6:18" ht="14.25" customHeight="1" x14ac:dyDescent="0.3">
      <c r="F628" s="314"/>
      <c r="G628" s="314"/>
      <c r="I628" s="120"/>
      <c r="Q628" s="122"/>
      <c r="R628" s="122"/>
    </row>
    <row r="629" spans="6:18" ht="14.25" customHeight="1" x14ac:dyDescent="0.3">
      <c r="F629" s="314"/>
      <c r="G629" s="314"/>
      <c r="I629" s="120"/>
      <c r="Q629" s="122"/>
      <c r="R629" s="122"/>
    </row>
    <row r="630" spans="6:18" ht="14.25" customHeight="1" x14ac:dyDescent="0.3">
      <c r="F630" s="314"/>
      <c r="G630" s="314"/>
      <c r="I630" s="120"/>
      <c r="Q630" s="122"/>
      <c r="R630" s="122"/>
    </row>
    <row r="631" spans="6:18" ht="14.25" customHeight="1" x14ac:dyDescent="0.3">
      <c r="F631" s="314"/>
      <c r="G631" s="314"/>
      <c r="I631" s="120"/>
      <c r="Q631" s="122"/>
      <c r="R631" s="122"/>
    </row>
    <row r="632" spans="6:18" ht="14.25" customHeight="1" x14ac:dyDescent="0.3">
      <c r="F632" s="314"/>
      <c r="G632" s="314"/>
      <c r="I632" s="120"/>
      <c r="Q632" s="122"/>
      <c r="R632" s="122"/>
    </row>
    <row r="633" spans="6:18" ht="14.25" customHeight="1" x14ac:dyDescent="0.3">
      <c r="F633" s="314"/>
      <c r="G633" s="314"/>
      <c r="I633" s="120"/>
      <c r="Q633" s="122"/>
      <c r="R633" s="122"/>
    </row>
    <row r="634" spans="6:18" ht="14.25" customHeight="1" x14ac:dyDescent="0.3">
      <c r="F634" s="314"/>
      <c r="G634" s="314"/>
      <c r="I634" s="120"/>
      <c r="Q634" s="122"/>
      <c r="R634" s="122"/>
    </row>
    <row r="635" spans="6:18" ht="14.25" customHeight="1" x14ac:dyDescent="0.3">
      <c r="F635" s="314"/>
      <c r="G635" s="314"/>
      <c r="I635" s="120"/>
      <c r="Q635" s="122"/>
      <c r="R635" s="122"/>
    </row>
    <row r="636" spans="6:18" ht="14.25" customHeight="1" x14ac:dyDescent="0.3">
      <c r="F636" s="314"/>
      <c r="G636" s="314"/>
      <c r="I636" s="120"/>
      <c r="Q636" s="122"/>
      <c r="R636" s="122"/>
    </row>
    <row r="637" spans="6:18" ht="14.25" customHeight="1" x14ac:dyDescent="0.3">
      <c r="F637" s="314"/>
      <c r="G637" s="314"/>
      <c r="I637" s="120"/>
      <c r="Q637" s="122"/>
      <c r="R637" s="122"/>
    </row>
    <row r="638" spans="6:18" ht="14.25" customHeight="1" x14ac:dyDescent="0.3">
      <c r="F638" s="314"/>
      <c r="G638" s="314"/>
      <c r="I638" s="120"/>
      <c r="Q638" s="122"/>
      <c r="R638" s="122"/>
    </row>
    <row r="639" spans="6:18" ht="14.25" customHeight="1" x14ac:dyDescent="0.3">
      <c r="F639" s="314"/>
      <c r="G639" s="314"/>
      <c r="I639" s="120"/>
      <c r="Q639" s="122"/>
      <c r="R639" s="122"/>
    </row>
    <row r="640" spans="6:18" ht="14.25" customHeight="1" x14ac:dyDescent="0.3">
      <c r="F640" s="314"/>
      <c r="G640" s="314"/>
      <c r="I640" s="120"/>
      <c r="Q640" s="122"/>
      <c r="R640" s="122"/>
    </row>
    <row r="641" spans="6:18" ht="14.25" customHeight="1" x14ac:dyDescent="0.3">
      <c r="F641" s="314"/>
      <c r="G641" s="314"/>
      <c r="I641" s="120"/>
      <c r="Q641" s="122"/>
      <c r="R641" s="122"/>
    </row>
    <row r="642" spans="6:18" ht="14.25" customHeight="1" x14ac:dyDescent="0.3">
      <c r="F642" s="314"/>
      <c r="G642" s="314"/>
      <c r="I642" s="120"/>
      <c r="Q642" s="122"/>
      <c r="R642" s="122"/>
    </row>
    <row r="643" spans="6:18" ht="14.25" customHeight="1" x14ac:dyDescent="0.3">
      <c r="F643" s="314"/>
      <c r="G643" s="314"/>
      <c r="I643" s="120"/>
      <c r="Q643" s="122"/>
      <c r="R643" s="122"/>
    </row>
    <row r="644" spans="6:18" ht="14.25" customHeight="1" x14ac:dyDescent="0.3">
      <c r="F644" s="314"/>
      <c r="G644" s="314"/>
      <c r="I644" s="120"/>
      <c r="Q644" s="122"/>
      <c r="R644" s="122"/>
    </row>
    <row r="645" spans="6:18" ht="14.25" customHeight="1" x14ac:dyDescent="0.3">
      <c r="F645" s="314"/>
      <c r="G645" s="314"/>
      <c r="I645" s="120"/>
      <c r="Q645" s="122"/>
      <c r="R645" s="122"/>
    </row>
    <row r="646" spans="6:18" ht="14.25" customHeight="1" x14ac:dyDescent="0.3">
      <c r="F646" s="314"/>
      <c r="G646" s="314"/>
      <c r="I646" s="120"/>
      <c r="Q646" s="122"/>
      <c r="R646" s="122"/>
    </row>
    <row r="647" spans="6:18" ht="14.25" customHeight="1" x14ac:dyDescent="0.3">
      <c r="F647" s="314"/>
      <c r="G647" s="314"/>
      <c r="I647" s="120"/>
      <c r="Q647" s="122"/>
      <c r="R647" s="122"/>
    </row>
    <row r="648" spans="6:18" ht="14.25" customHeight="1" x14ac:dyDescent="0.3">
      <c r="F648" s="314"/>
      <c r="G648" s="314"/>
      <c r="I648" s="120"/>
      <c r="Q648" s="122"/>
      <c r="R648" s="122"/>
    </row>
    <row r="649" spans="6:18" ht="14.25" customHeight="1" x14ac:dyDescent="0.3">
      <c r="F649" s="314"/>
      <c r="G649" s="314"/>
      <c r="I649" s="120"/>
      <c r="Q649" s="122"/>
      <c r="R649" s="122"/>
    </row>
    <row r="650" spans="6:18" ht="14.25" customHeight="1" x14ac:dyDescent="0.3">
      <c r="F650" s="314"/>
      <c r="G650" s="314"/>
      <c r="I650" s="120"/>
      <c r="Q650" s="122"/>
      <c r="R650" s="122"/>
    </row>
    <row r="651" spans="6:18" ht="14.25" customHeight="1" x14ac:dyDescent="0.3">
      <c r="F651" s="314"/>
      <c r="G651" s="314"/>
      <c r="I651" s="120"/>
      <c r="Q651" s="122"/>
      <c r="R651" s="122"/>
    </row>
    <row r="652" spans="6:18" ht="14.25" customHeight="1" x14ac:dyDescent="0.3">
      <c r="F652" s="314"/>
      <c r="G652" s="314"/>
      <c r="I652" s="120"/>
      <c r="Q652" s="122"/>
      <c r="R652" s="122"/>
    </row>
    <row r="653" spans="6:18" ht="14.25" customHeight="1" x14ac:dyDescent="0.3">
      <c r="F653" s="314"/>
      <c r="G653" s="314"/>
      <c r="I653" s="120"/>
      <c r="Q653" s="122"/>
      <c r="R653" s="122"/>
    </row>
    <row r="654" spans="6:18" ht="14.25" customHeight="1" x14ac:dyDescent="0.3">
      <c r="F654" s="314"/>
      <c r="G654" s="314"/>
      <c r="I654" s="120"/>
      <c r="Q654" s="122"/>
      <c r="R654" s="122"/>
    </row>
    <row r="655" spans="6:18" ht="14.25" customHeight="1" x14ac:dyDescent="0.3">
      <c r="F655" s="314"/>
      <c r="G655" s="314"/>
      <c r="I655" s="120"/>
      <c r="Q655" s="122"/>
      <c r="R655" s="122"/>
    </row>
    <row r="656" spans="6:18" ht="14.25" customHeight="1" x14ac:dyDescent="0.3">
      <c r="F656" s="314"/>
      <c r="G656" s="314"/>
      <c r="I656" s="120"/>
      <c r="Q656" s="122"/>
      <c r="R656" s="122"/>
    </row>
    <row r="657" spans="6:18" ht="14.25" customHeight="1" x14ac:dyDescent="0.3">
      <c r="F657" s="314"/>
      <c r="G657" s="314"/>
      <c r="I657" s="120"/>
      <c r="Q657" s="122"/>
      <c r="R657" s="122"/>
    </row>
    <row r="658" spans="6:18" ht="14.25" customHeight="1" x14ac:dyDescent="0.3">
      <c r="F658" s="314"/>
      <c r="G658" s="314"/>
      <c r="I658" s="120"/>
      <c r="Q658" s="122"/>
      <c r="R658" s="122"/>
    </row>
    <row r="659" spans="6:18" ht="14.25" customHeight="1" x14ac:dyDescent="0.3">
      <c r="F659" s="314"/>
      <c r="G659" s="314"/>
      <c r="I659" s="120"/>
      <c r="Q659" s="122"/>
      <c r="R659" s="122"/>
    </row>
    <row r="660" spans="6:18" ht="14.25" customHeight="1" x14ac:dyDescent="0.3">
      <c r="F660" s="314"/>
      <c r="G660" s="314"/>
      <c r="I660" s="120"/>
      <c r="Q660" s="122"/>
      <c r="R660" s="122"/>
    </row>
    <row r="661" spans="6:18" ht="14.25" customHeight="1" x14ac:dyDescent="0.3">
      <c r="F661" s="314"/>
      <c r="G661" s="314"/>
      <c r="I661" s="120"/>
      <c r="Q661" s="122"/>
      <c r="R661" s="122"/>
    </row>
    <row r="662" spans="6:18" ht="14.25" customHeight="1" x14ac:dyDescent="0.3">
      <c r="F662" s="314"/>
      <c r="G662" s="314"/>
      <c r="I662" s="120"/>
      <c r="Q662" s="122"/>
      <c r="R662" s="122"/>
    </row>
    <row r="663" spans="6:18" ht="14.25" customHeight="1" x14ac:dyDescent="0.3">
      <c r="F663" s="314"/>
      <c r="G663" s="314"/>
      <c r="I663" s="120"/>
      <c r="Q663" s="122"/>
      <c r="R663" s="122"/>
    </row>
    <row r="664" spans="6:18" ht="14.25" customHeight="1" x14ac:dyDescent="0.3">
      <c r="F664" s="314"/>
      <c r="G664" s="314"/>
      <c r="I664" s="120"/>
      <c r="Q664" s="122"/>
      <c r="R664" s="122"/>
    </row>
    <row r="665" spans="6:18" ht="14.25" customHeight="1" x14ac:dyDescent="0.3">
      <c r="F665" s="314"/>
      <c r="G665" s="314"/>
      <c r="I665" s="120"/>
      <c r="Q665" s="122"/>
      <c r="R665" s="122"/>
    </row>
    <row r="666" spans="6:18" ht="14.25" customHeight="1" x14ac:dyDescent="0.3">
      <c r="F666" s="314"/>
      <c r="G666" s="314"/>
      <c r="I666" s="120"/>
      <c r="Q666" s="122"/>
      <c r="R666" s="122"/>
    </row>
    <row r="667" spans="6:18" ht="14.25" customHeight="1" x14ac:dyDescent="0.3">
      <c r="F667" s="314"/>
      <c r="G667" s="314"/>
      <c r="I667" s="120"/>
      <c r="Q667" s="122"/>
      <c r="R667" s="122"/>
    </row>
    <row r="668" spans="6:18" ht="14.25" customHeight="1" x14ac:dyDescent="0.3">
      <c r="F668" s="314"/>
      <c r="G668" s="314"/>
      <c r="I668" s="120"/>
      <c r="Q668" s="122"/>
      <c r="R668" s="122"/>
    </row>
    <row r="669" spans="6:18" ht="14.25" customHeight="1" x14ac:dyDescent="0.3">
      <c r="F669" s="314"/>
      <c r="G669" s="314"/>
      <c r="I669" s="120"/>
      <c r="Q669" s="122"/>
      <c r="R669" s="122"/>
    </row>
    <row r="670" spans="6:18" ht="14.25" customHeight="1" x14ac:dyDescent="0.3">
      <c r="F670" s="314"/>
      <c r="G670" s="314"/>
      <c r="I670" s="120"/>
      <c r="Q670" s="122"/>
      <c r="R670" s="122"/>
    </row>
    <row r="671" spans="6:18" ht="14.25" customHeight="1" x14ac:dyDescent="0.3">
      <c r="F671" s="314"/>
      <c r="G671" s="314"/>
      <c r="I671" s="120"/>
      <c r="Q671" s="122"/>
      <c r="R671" s="122"/>
    </row>
    <row r="672" spans="6:18" ht="14.25" customHeight="1" x14ac:dyDescent="0.3">
      <c r="F672" s="314"/>
      <c r="G672" s="314"/>
      <c r="I672" s="120"/>
      <c r="Q672" s="122"/>
      <c r="R672" s="122"/>
    </row>
    <row r="673" spans="6:18" ht="14.25" customHeight="1" x14ac:dyDescent="0.3">
      <c r="F673" s="314"/>
      <c r="G673" s="314"/>
      <c r="I673" s="120"/>
      <c r="Q673" s="122"/>
      <c r="R673" s="122"/>
    </row>
    <row r="674" spans="6:18" ht="14.25" customHeight="1" x14ac:dyDescent="0.3">
      <c r="F674" s="314"/>
      <c r="G674" s="314"/>
      <c r="I674" s="120"/>
      <c r="Q674" s="122"/>
      <c r="R674" s="122"/>
    </row>
    <row r="675" spans="6:18" ht="14.25" customHeight="1" x14ac:dyDescent="0.3">
      <c r="F675" s="314"/>
      <c r="G675" s="314"/>
      <c r="I675" s="120"/>
      <c r="Q675" s="122"/>
      <c r="R675" s="122"/>
    </row>
    <row r="676" spans="6:18" ht="14.25" customHeight="1" x14ac:dyDescent="0.3">
      <c r="F676" s="314"/>
      <c r="G676" s="314"/>
      <c r="I676" s="120"/>
      <c r="Q676" s="122"/>
      <c r="R676" s="122"/>
    </row>
    <row r="677" spans="6:18" ht="14.25" customHeight="1" x14ac:dyDescent="0.3">
      <c r="F677" s="314"/>
      <c r="G677" s="314"/>
      <c r="I677" s="120"/>
      <c r="Q677" s="122"/>
      <c r="R677" s="122"/>
    </row>
    <row r="678" spans="6:18" ht="14.25" customHeight="1" x14ac:dyDescent="0.3">
      <c r="F678" s="314"/>
      <c r="G678" s="314"/>
      <c r="I678" s="120"/>
      <c r="Q678" s="122"/>
      <c r="R678" s="122"/>
    </row>
    <row r="679" spans="6:18" ht="14.25" customHeight="1" x14ac:dyDescent="0.3">
      <c r="F679" s="314"/>
      <c r="G679" s="314"/>
      <c r="I679" s="120"/>
      <c r="Q679" s="122"/>
      <c r="R679" s="122"/>
    </row>
    <row r="680" spans="6:18" ht="14.25" customHeight="1" x14ac:dyDescent="0.3">
      <c r="F680" s="314"/>
      <c r="G680" s="314"/>
      <c r="I680" s="120"/>
      <c r="Q680" s="122"/>
      <c r="R680" s="122"/>
    </row>
    <row r="681" spans="6:18" ht="14.25" customHeight="1" x14ac:dyDescent="0.3">
      <c r="F681" s="314"/>
      <c r="G681" s="314"/>
      <c r="I681" s="120"/>
      <c r="Q681" s="122"/>
      <c r="R681" s="122"/>
    </row>
    <row r="682" spans="6:18" ht="14.25" customHeight="1" x14ac:dyDescent="0.3">
      <c r="F682" s="314"/>
      <c r="G682" s="314"/>
      <c r="I682" s="120"/>
      <c r="Q682" s="122"/>
      <c r="R682" s="122"/>
    </row>
    <row r="683" spans="6:18" ht="14.25" customHeight="1" x14ac:dyDescent="0.3">
      <c r="F683" s="314"/>
      <c r="G683" s="314"/>
      <c r="I683" s="120"/>
      <c r="Q683" s="122"/>
      <c r="R683" s="122"/>
    </row>
    <row r="684" spans="6:18" ht="14.25" customHeight="1" x14ac:dyDescent="0.3">
      <c r="F684" s="314"/>
      <c r="G684" s="314"/>
      <c r="I684" s="120"/>
      <c r="Q684" s="122"/>
      <c r="R684" s="122"/>
    </row>
    <row r="685" spans="6:18" ht="14.25" customHeight="1" x14ac:dyDescent="0.3">
      <c r="F685" s="314"/>
      <c r="G685" s="314"/>
      <c r="I685" s="120"/>
      <c r="Q685" s="122"/>
      <c r="R685" s="122"/>
    </row>
    <row r="686" spans="6:18" ht="14.25" customHeight="1" x14ac:dyDescent="0.3">
      <c r="F686" s="314"/>
      <c r="G686" s="314"/>
      <c r="I686" s="120"/>
      <c r="Q686" s="122"/>
      <c r="R686" s="122"/>
    </row>
    <row r="687" spans="6:18" ht="14.25" customHeight="1" x14ac:dyDescent="0.3">
      <c r="F687" s="314"/>
      <c r="G687" s="314"/>
      <c r="I687" s="120"/>
      <c r="Q687" s="122"/>
      <c r="R687" s="122"/>
    </row>
    <row r="688" spans="6:18" ht="14.25" customHeight="1" x14ac:dyDescent="0.3">
      <c r="F688" s="314"/>
      <c r="G688" s="314"/>
      <c r="I688" s="120"/>
      <c r="Q688" s="122"/>
      <c r="R688" s="122"/>
    </row>
    <row r="689" spans="6:18" ht="14.25" customHeight="1" x14ac:dyDescent="0.3">
      <c r="F689" s="314"/>
      <c r="G689" s="314"/>
      <c r="I689" s="120"/>
      <c r="Q689" s="122"/>
      <c r="R689" s="122"/>
    </row>
    <row r="690" spans="6:18" ht="14.25" customHeight="1" x14ac:dyDescent="0.3">
      <c r="F690" s="314"/>
      <c r="G690" s="314"/>
      <c r="I690" s="120"/>
      <c r="Q690" s="122"/>
      <c r="R690" s="122"/>
    </row>
    <row r="691" spans="6:18" ht="14.25" customHeight="1" x14ac:dyDescent="0.3">
      <c r="F691" s="314"/>
      <c r="G691" s="314"/>
      <c r="I691" s="120"/>
      <c r="Q691" s="122"/>
      <c r="R691" s="122"/>
    </row>
    <row r="692" spans="6:18" ht="14.25" customHeight="1" x14ac:dyDescent="0.3">
      <c r="F692" s="314"/>
      <c r="G692" s="314"/>
      <c r="I692" s="120"/>
      <c r="Q692" s="122"/>
      <c r="R692" s="122"/>
    </row>
    <row r="693" spans="6:18" ht="14.25" customHeight="1" x14ac:dyDescent="0.3">
      <c r="F693" s="314"/>
      <c r="G693" s="314"/>
      <c r="I693" s="120"/>
      <c r="Q693" s="122"/>
      <c r="R693" s="122"/>
    </row>
    <row r="694" spans="6:18" ht="14.25" customHeight="1" x14ac:dyDescent="0.3">
      <c r="F694" s="314"/>
      <c r="G694" s="314"/>
      <c r="I694" s="120"/>
      <c r="Q694" s="122"/>
      <c r="R694" s="122"/>
    </row>
    <row r="695" spans="6:18" ht="14.25" customHeight="1" x14ac:dyDescent="0.3">
      <c r="F695" s="314"/>
      <c r="G695" s="314"/>
      <c r="I695" s="120"/>
      <c r="Q695" s="122"/>
      <c r="R695" s="122"/>
    </row>
    <row r="696" spans="6:18" ht="14.25" customHeight="1" x14ac:dyDescent="0.3">
      <c r="F696" s="314"/>
      <c r="G696" s="314"/>
      <c r="I696" s="120"/>
      <c r="Q696" s="122"/>
      <c r="R696" s="122"/>
    </row>
    <row r="697" spans="6:18" ht="14.25" customHeight="1" x14ac:dyDescent="0.3">
      <c r="F697" s="314"/>
      <c r="G697" s="314"/>
      <c r="I697" s="120"/>
      <c r="Q697" s="122"/>
      <c r="R697" s="122"/>
    </row>
    <row r="698" spans="6:18" ht="14.25" customHeight="1" x14ac:dyDescent="0.3">
      <c r="F698" s="314"/>
      <c r="G698" s="314"/>
      <c r="I698" s="120"/>
      <c r="Q698" s="122"/>
      <c r="R698" s="122"/>
    </row>
    <row r="699" spans="6:18" ht="14.25" customHeight="1" x14ac:dyDescent="0.3">
      <c r="F699" s="314"/>
      <c r="G699" s="314"/>
      <c r="I699" s="120"/>
      <c r="Q699" s="122"/>
      <c r="R699" s="122"/>
    </row>
    <row r="700" spans="6:18" ht="14.25" customHeight="1" x14ac:dyDescent="0.3">
      <c r="F700" s="314"/>
      <c r="G700" s="314"/>
      <c r="I700" s="120"/>
      <c r="Q700" s="122"/>
      <c r="R700" s="122"/>
    </row>
    <row r="701" spans="6:18" ht="14.25" customHeight="1" x14ac:dyDescent="0.3">
      <c r="F701" s="314"/>
      <c r="G701" s="314"/>
      <c r="I701" s="120"/>
      <c r="Q701" s="122"/>
      <c r="R701" s="122"/>
    </row>
    <row r="702" spans="6:18" ht="14.25" customHeight="1" x14ac:dyDescent="0.3">
      <c r="F702" s="314"/>
      <c r="G702" s="314"/>
      <c r="I702" s="120"/>
      <c r="Q702" s="122"/>
      <c r="R702" s="122"/>
    </row>
    <row r="703" spans="6:18" ht="14.25" customHeight="1" x14ac:dyDescent="0.3">
      <c r="F703" s="314"/>
      <c r="G703" s="314"/>
      <c r="I703" s="120"/>
      <c r="Q703" s="122"/>
      <c r="R703" s="122"/>
    </row>
    <row r="704" spans="6:18" ht="14.25" customHeight="1" x14ac:dyDescent="0.3">
      <c r="F704" s="314"/>
      <c r="G704" s="314"/>
      <c r="I704" s="120"/>
      <c r="Q704" s="122"/>
      <c r="R704" s="122"/>
    </row>
    <row r="705" spans="6:18" ht="14.25" customHeight="1" x14ac:dyDescent="0.3">
      <c r="F705" s="314"/>
      <c r="G705" s="314"/>
      <c r="I705" s="120"/>
      <c r="Q705" s="122"/>
      <c r="R705" s="122"/>
    </row>
    <row r="706" spans="6:18" ht="14.25" customHeight="1" x14ac:dyDescent="0.3">
      <c r="F706" s="314"/>
      <c r="G706" s="314"/>
      <c r="I706" s="120"/>
      <c r="Q706" s="122"/>
      <c r="R706" s="122"/>
    </row>
    <row r="707" spans="6:18" ht="14.25" customHeight="1" x14ac:dyDescent="0.3">
      <c r="F707" s="314"/>
      <c r="G707" s="314"/>
      <c r="I707" s="120"/>
      <c r="Q707" s="122"/>
      <c r="R707" s="122"/>
    </row>
    <row r="708" spans="6:18" ht="14.25" customHeight="1" x14ac:dyDescent="0.3">
      <c r="F708" s="314"/>
      <c r="G708" s="314"/>
      <c r="I708" s="120"/>
      <c r="Q708" s="122"/>
      <c r="R708" s="122"/>
    </row>
    <row r="709" spans="6:18" ht="14.25" customHeight="1" x14ac:dyDescent="0.3">
      <c r="F709" s="314"/>
      <c r="G709" s="314"/>
      <c r="I709" s="120"/>
      <c r="Q709" s="122"/>
      <c r="R709" s="122"/>
    </row>
    <row r="710" spans="6:18" ht="14.25" customHeight="1" x14ac:dyDescent="0.3">
      <c r="F710" s="314"/>
      <c r="G710" s="314"/>
      <c r="I710" s="120"/>
      <c r="Q710" s="122"/>
      <c r="R710" s="122"/>
    </row>
    <row r="711" spans="6:18" ht="14.25" customHeight="1" x14ac:dyDescent="0.3">
      <c r="F711" s="314"/>
      <c r="G711" s="314"/>
      <c r="I711" s="120"/>
      <c r="Q711" s="122"/>
      <c r="R711" s="122"/>
    </row>
    <row r="712" spans="6:18" ht="14.25" customHeight="1" x14ac:dyDescent="0.3">
      <c r="F712" s="314"/>
      <c r="G712" s="314"/>
      <c r="I712" s="120"/>
      <c r="Q712" s="122"/>
      <c r="R712" s="122"/>
    </row>
    <row r="713" spans="6:18" ht="14.25" customHeight="1" x14ac:dyDescent="0.3">
      <c r="F713" s="314"/>
      <c r="G713" s="314"/>
      <c r="I713" s="120"/>
      <c r="Q713" s="122"/>
      <c r="R713" s="122"/>
    </row>
    <row r="714" spans="6:18" ht="14.25" customHeight="1" x14ac:dyDescent="0.3">
      <c r="F714" s="314"/>
      <c r="G714" s="314"/>
      <c r="I714" s="120"/>
      <c r="Q714" s="122"/>
      <c r="R714" s="122"/>
    </row>
    <row r="715" spans="6:18" ht="14.25" customHeight="1" x14ac:dyDescent="0.3">
      <c r="F715" s="314"/>
      <c r="G715" s="314"/>
      <c r="I715" s="120"/>
      <c r="Q715" s="122"/>
      <c r="R715" s="122"/>
    </row>
    <row r="716" spans="6:18" ht="14.25" customHeight="1" x14ac:dyDescent="0.3">
      <c r="F716" s="314"/>
      <c r="G716" s="314"/>
      <c r="I716" s="120"/>
      <c r="Q716" s="122"/>
      <c r="R716" s="122"/>
    </row>
    <row r="717" spans="6:18" ht="14.25" customHeight="1" x14ac:dyDescent="0.3">
      <c r="F717" s="314"/>
      <c r="G717" s="314"/>
      <c r="I717" s="120"/>
      <c r="Q717" s="122"/>
      <c r="R717" s="122"/>
    </row>
    <row r="718" spans="6:18" ht="14.25" customHeight="1" x14ac:dyDescent="0.3">
      <c r="F718" s="314"/>
      <c r="G718" s="314"/>
      <c r="I718" s="120"/>
      <c r="Q718" s="122"/>
      <c r="R718" s="122"/>
    </row>
    <row r="719" spans="6:18" ht="14.25" customHeight="1" x14ac:dyDescent="0.3">
      <c r="F719" s="314"/>
      <c r="G719" s="314"/>
      <c r="I719" s="120"/>
      <c r="Q719" s="122"/>
      <c r="R719" s="122"/>
    </row>
    <row r="720" spans="6:18" ht="14.25" customHeight="1" x14ac:dyDescent="0.3">
      <c r="F720" s="314"/>
      <c r="G720" s="314"/>
      <c r="I720" s="120"/>
      <c r="Q720" s="122"/>
      <c r="R720" s="122"/>
    </row>
    <row r="721" spans="6:18" ht="14.25" customHeight="1" x14ac:dyDescent="0.3">
      <c r="F721" s="314"/>
      <c r="G721" s="314"/>
      <c r="I721" s="120"/>
      <c r="Q721" s="122"/>
      <c r="R721" s="122"/>
    </row>
    <row r="722" spans="6:18" ht="14.25" customHeight="1" x14ac:dyDescent="0.3">
      <c r="F722" s="314"/>
      <c r="G722" s="314"/>
      <c r="I722" s="120"/>
      <c r="Q722" s="122"/>
      <c r="R722" s="122"/>
    </row>
    <row r="723" spans="6:18" ht="14.25" customHeight="1" x14ac:dyDescent="0.3">
      <c r="F723" s="314"/>
      <c r="G723" s="314"/>
      <c r="I723" s="120"/>
      <c r="Q723" s="122"/>
      <c r="R723" s="122"/>
    </row>
    <row r="724" spans="6:18" ht="14.25" customHeight="1" x14ac:dyDescent="0.3">
      <c r="F724" s="314"/>
      <c r="G724" s="314"/>
      <c r="I724" s="120"/>
      <c r="Q724" s="122"/>
      <c r="R724" s="122"/>
    </row>
    <row r="725" spans="6:18" ht="14.25" customHeight="1" x14ac:dyDescent="0.3">
      <c r="F725" s="314"/>
      <c r="G725" s="314"/>
      <c r="I725" s="120"/>
      <c r="Q725" s="122"/>
      <c r="R725" s="122"/>
    </row>
    <row r="726" spans="6:18" ht="14.25" customHeight="1" x14ac:dyDescent="0.3">
      <c r="F726" s="314"/>
      <c r="G726" s="314"/>
      <c r="I726" s="120"/>
      <c r="Q726" s="122"/>
      <c r="R726" s="122"/>
    </row>
    <row r="727" spans="6:18" ht="14.25" customHeight="1" x14ac:dyDescent="0.3">
      <c r="F727" s="314"/>
      <c r="G727" s="314"/>
      <c r="I727" s="120"/>
      <c r="Q727" s="122"/>
      <c r="R727" s="122"/>
    </row>
    <row r="728" spans="6:18" ht="14.25" customHeight="1" x14ac:dyDescent="0.3">
      <c r="F728" s="314"/>
      <c r="G728" s="314"/>
      <c r="I728" s="120"/>
      <c r="Q728" s="122"/>
      <c r="R728" s="122"/>
    </row>
    <row r="729" spans="6:18" ht="14.25" customHeight="1" x14ac:dyDescent="0.3">
      <c r="F729" s="314"/>
      <c r="G729" s="314"/>
      <c r="I729" s="120"/>
      <c r="Q729" s="122"/>
      <c r="R729" s="122"/>
    </row>
    <row r="730" spans="6:18" ht="14.25" customHeight="1" x14ac:dyDescent="0.3">
      <c r="F730" s="314"/>
      <c r="G730" s="314"/>
      <c r="I730" s="120"/>
      <c r="Q730" s="122"/>
      <c r="R730" s="122"/>
    </row>
    <row r="731" spans="6:18" ht="14.25" customHeight="1" x14ac:dyDescent="0.3">
      <c r="F731" s="314"/>
      <c r="G731" s="314"/>
      <c r="I731" s="120"/>
      <c r="Q731" s="122"/>
      <c r="R731" s="122"/>
    </row>
    <row r="732" spans="6:18" ht="14.25" customHeight="1" x14ac:dyDescent="0.3">
      <c r="F732" s="314"/>
      <c r="G732" s="314"/>
      <c r="I732" s="120"/>
      <c r="Q732" s="122"/>
      <c r="R732" s="122"/>
    </row>
    <row r="733" spans="6:18" ht="14.25" customHeight="1" x14ac:dyDescent="0.3">
      <c r="F733" s="314"/>
      <c r="G733" s="314"/>
      <c r="I733" s="120"/>
      <c r="Q733" s="122"/>
      <c r="R733" s="122"/>
    </row>
    <row r="734" spans="6:18" ht="14.25" customHeight="1" x14ac:dyDescent="0.3">
      <c r="F734" s="314"/>
      <c r="G734" s="314"/>
      <c r="I734" s="120"/>
      <c r="Q734" s="122"/>
      <c r="R734" s="122"/>
    </row>
    <row r="735" spans="6:18" ht="14.25" customHeight="1" x14ac:dyDescent="0.3">
      <c r="F735" s="314"/>
      <c r="G735" s="314"/>
      <c r="I735" s="120"/>
      <c r="Q735" s="122"/>
      <c r="R735" s="122"/>
    </row>
    <row r="736" spans="6:18" ht="14.25" customHeight="1" x14ac:dyDescent="0.3">
      <c r="F736" s="314"/>
      <c r="G736" s="314"/>
      <c r="I736" s="120"/>
      <c r="Q736" s="122"/>
      <c r="R736" s="122"/>
    </row>
    <row r="737" spans="6:18" ht="14.25" customHeight="1" x14ac:dyDescent="0.3">
      <c r="F737" s="314"/>
      <c r="G737" s="314"/>
      <c r="I737" s="120"/>
      <c r="Q737" s="122"/>
      <c r="R737" s="122"/>
    </row>
    <row r="738" spans="6:18" ht="14.25" customHeight="1" x14ac:dyDescent="0.3">
      <c r="F738" s="314"/>
      <c r="G738" s="314"/>
      <c r="I738" s="120"/>
      <c r="Q738" s="122"/>
      <c r="R738" s="122"/>
    </row>
    <row r="739" spans="6:18" ht="14.25" customHeight="1" x14ac:dyDescent="0.3">
      <c r="F739" s="314"/>
      <c r="G739" s="314"/>
      <c r="I739" s="120"/>
      <c r="Q739" s="122"/>
      <c r="R739" s="122"/>
    </row>
    <row r="740" spans="6:18" ht="14.25" customHeight="1" x14ac:dyDescent="0.3">
      <c r="F740" s="314"/>
      <c r="G740" s="314"/>
      <c r="I740" s="120"/>
      <c r="Q740" s="122"/>
      <c r="R740" s="122"/>
    </row>
    <row r="741" spans="6:18" ht="14.25" customHeight="1" x14ac:dyDescent="0.3">
      <c r="F741" s="314"/>
      <c r="G741" s="314"/>
      <c r="I741" s="120"/>
      <c r="Q741" s="122"/>
      <c r="R741" s="122"/>
    </row>
    <row r="742" spans="6:18" ht="14.25" customHeight="1" x14ac:dyDescent="0.3">
      <c r="F742" s="314"/>
      <c r="G742" s="314"/>
      <c r="I742" s="120"/>
      <c r="Q742" s="122"/>
      <c r="R742" s="122"/>
    </row>
    <row r="743" spans="6:18" ht="14.25" customHeight="1" x14ac:dyDescent="0.3">
      <c r="F743" s="314"/>
      <c r="G743" s="314"/>
      <c r="I743" s="120"/>
      <c r="Q743" s="122"/>
      <c r="R743" s="122"/>
    </row>
    <row r="744" spans="6:18" ht="14.25" customHeight="1" x14ac:dyDescent="0.3">
      <c r="F744" s="314"/>
      <c r="G744" s="314"/>
      <c r="I744" s="120"/>
      <c r="Q744" s="122"/>
      <c r="R744" s="122"/>
    </row>
    <row r="745" spans="6:18" ht="14.25" customHeight="1" x14ac:dyDescent="0.3">
      <c r="F745" s="314"/>
      <c r="G745" s="314"/>
      <c r="I745" s="120"/>
      <c r="Q745" s="122"/>
      <c r="R745" s="122"/>
    </row>
    <row r="746" spans="6:18" ht="14.25" customHeight="1" x14ac:dyDescent="0.3">
      <c r="F746" s="314"/>
      <c r="G746" s="314"/>
      <c r="I746" s="120"/>
      <c r="Q746" s="122"/>
      <c r="R746" s="122"/>
    </row>
    <row r="747" spans="6:18" ht="14.25" customHeight="1" x14ac:dyDescent="0.3">
      <c r="F747" s="314"/>
      <c r="G747" s="314"/>
      <c r="I747" s="120"/>
      <c r="Q747" s="122"/>
      <c r="R747" s="122"/>
    </row>
    <row r="748" spans="6:18" ht="14.25" customHeight="1" x14ac:dyDescent="0.3">
      <c r="F748" s="314"/>
      <c r="G748" s="314"/>
      <c r="I748" s="120"/>
      <c r="Q748" s="122"/>
      <c r="R748" s="122"/>
    </row>
    <row r="749" spans="6:18" ht="14.25" customHeight="1" x14ac:dyDescent="0.3">
      <c r="F749" s="314"/>
      <c r="G749" s="314"/>
      <c r="I749" s="120"/>
      <c r="Q749" s="122"/>
      <c r="R749" s="122"/>
    </row>
    <row r="750" spans="6:18" ht="14.25" customHeight="1" x14ac:dyDescent="0.3">
      <c r="F750" s="314"/>
      <c r="G750" s="314"/>
      <c r="I750" s="120"/>
      <c r="Q750" s="122"/>
      <c r="R750" s="122"/>
    </row>
    <row r="751" spans="6:18" ht="14.25" customHeight="1" x14ac:dyDescent="0.3">
      <c r="F751" s="314"/>
      <c r="G751" s="314"/>
      <c r="I751" s="120"/>
      <c r="Q751" s="122"/>
      <c r="R751" s="122"/>
    </row>
    <row r="752" spans="6:18" ht="14.25" customHeight="1" x14ac:dyDescent="0.3">
      <c r="F752" s="314"/>
      <c r="G752" s="314"/>
      <c r="I752" s="120"/>
      <c r="Q752" s="122"/>
      <c r="R752" s="122"/>
    </row>
    <row r="753" spans="6:18" ht="14.25" customHeight="1" x14ac:dyDescent="0.3">
      <c r="F753" s="314"/>
      <c r="G753" s="314"/>
      <c r="I753" s="120"/>
      <c r="Q753" s="122"/>
      <c r="R753" s="122"/>
    </row>
    <row r="754" spans="6:18" ht="14.25" customHeight="1" x14ac:dyDescent="0.3">
      <c r="F754" s="314"/>
      <c r="G754" s="314"/>
      <c r="I754" s="120"/>
      <c r="Q754" s="122"/>
      <c r="R754" s="122"/>
    </row>
    <row r="755" spans="6:18" ht="14.25" customHeight="1" x14ac:dyDescent="0.3">
      <c r="F755" s="314"/>
      <c r="G755" s="314"/>
      <c r="I755" s="120"/>
      <c r="Q755" s="122"/>
      <c r="R755" s="122"/>
    </row>
    <row r="756" spans="6:18" ht="14.25" customHeight="1" x14ac:dyDescent="0.3">
      <c r="F756" s="314"/>
      <c r="G756" s="314"/>
      <c r="I756" s="120"/>
      <c r="Q756" s="122"/>
      <c r="R756" s="122"/>
    </row>
    <row r="757" spans="6:18" ht="14.25" customHeight="1" x14ac:dyDescent="0.3">
      <c r="F757" s="314"/>
      <c r="G757" s="314"/>
      <c r="I757" s="120"/>
      <c r="Q757" s="122"/>
      <c r="R757" s="122"/>
    </row>
    <row r="758" spans="6:18" ht="14.25" customHeight="1" x14ac:dyDescent="0.3">
      <c r="F758" s="314"/>
      <c r="G758" s="314"/>
      <c r="I758" s="120"/>
      <c r="Q758" s="122"/>
      <c r="R758" s="122"/>
    </row>
    <row r="759" spans="6:18" ht="14.25" customHeight="1" x14ac:dyDescent="0.3">
      <c r="F759" s="314"/>
      <c r="G759" s="314"/>
      <c r="I759" s="120"/>
      <c r="Q759" s="122"/>
      <c r="R759" s="122"/>
    </row>
    <row r="760" spans="6:18" ht="14.25" customHeight="1" x14ac:dyDescent="0.3">
      <c r="F760" s="314"/>
      <c r="G760" s="314"/>
      <c r="I760" s="120"/>
      <c r="Q760" s="122"/>
      <c r="R760" s="122"/>
    </row>
    <row r="761" spans="6:18" ht="14.25" customHeight="1" x14ac:dyDescent="0.3">
      <c r="F761" s="314"/>
      <c r="G761" s="314"/>
      <c r="I761" s="120"/>
      <c r="Q761" s="122"/>
      <c r="R761" s="122"/>
    </row>
    <row r="762" spans="6:18" ht="14.25" customHeight="1" x14ac:dyDescent="0.3">
      <c r="F762" s="314"/>
      <c r="G762" s="314"/>
      <c r="I762" s="120"/>
      <c r="Q762" s="122"/>
      <c r="R762" s="122"/>
    </row>
    <row r="763" spans="6:18" ht="14.25" customHeight="1" x14ac:dyDescent="0.3">
      <c r="F763" s="314"/>
      <c r="G763" s="314"/>
      <c r="I763" s="120"/>
      <c r="Q763" s="122"/>
      <c r="R763" s="122"/>
    </row>
    <row r="764" spans="6:18" ht="14.25" customHeight="1" x14ac:dyDescent="0.3">
      <c r="F764" s="314"/>
      <c r="G764" s="314"/>
      <c r="I764" s="120"/>
      <c r="Q764" s="122"/>
      <c r="R764" s="122"/>
    </row>
    <row r="765" spans="6:18" ht="14.25" customHeight="1" x14ac:dyDescent="0.3">
      <c r="F765" s="314"/>
      <c r="G765" s="314"/>
      <c r="I765" s="120"/>
      <c r="Q765" s="122"/>
      <c r="R765" s="122"/>
    </row>
    <row r="766" spans="6:18" ht="14.25" customHeight="1" x14ac:dyDescent="0.3">
      <c r="F766" s="314"/>
      <c r="G766" s="314"/>
      <c r="I766" s="120"/>
      <c r="Q766" s="122"/>
      <c r="R766" s="122"/>
    </row>
    <row r="767" spans="6:18" ht="14.25" customHeight="1" x14ac:dyDescent="0.3">
      <c r="F767" s="314"/>
      <c r="G767" s="314"/>
      <c r="I767" s="120"/>
      <c r="Q767" s="122"/>
      <c r="R767" s="122"/>
    </row>
    <row r="768" spans="6:18" ht="14.25" customHeight="1" x14ac:dyDescent="0.3">
      <c r="F768" s="314"/>
      <c r="G768" s="314"/>
      <c r="I768" s="120"/>
      <c r="Q768" s="122"/>
      <c r="R768" s="122"/>
    </row>
    <row r="769" spans="6:18" ht="14.25" customHeight="1" x14ac:dyDescent="0.3">
      <c r="F769" s="314"/>
      <c r="G769" s="314"/>
      <c r="I769" s="120"/>
      <c r="Q769" s="122"/>
      <c r="R769" s="122"/>
    </row>
    <row r="770" spans="6:18" ht="14.25" customHeight="1" x14ac:dyDescent="0.3">
      <c r="F770" s="314"/>
      <c r="G770" s="314"/>
      <c r="I770" s="120"/>
      <c r="Q770" s="122"/>
      <c r="R770" s="122"/>
    </row>
    <row r="771" spans="6:18" ht="14.25" customHeight="1" x14ac:dyDescent="0.3">
      <c r="F771" s="314"/>
      <c r="G771" s="314"/>
      <c r="I771" s="120"/>
      <c r="Q771" s="122"/>
      <c r="R771" s="122"/>
    </row>
    <row r="772" spans="6:18" ht="14.25" customHeight="1" x14ac:dyDescent="0.3">
      <c r="F772" s="314"/>
      <c r="G772" s="314"/>
      <c r="I772" s="120"/>
      <c r="Q772" s="122"/>
      <c r="R772" s="122"/>
    </row>
    <row r="773" spans="6:18" ht="14.25" customHeight="1" x14ac:dyDescent="0.3">
      <c r="F773" s="314"/>
      <c r="G773" s="314"/>
      <c r="I773" s="120"/>
      <c r="Q773" s="122"/>
      <c r="R773" s="122"/>
    </row>
    <row r="774" spans="6:18" ht="14.25" customHeight="1" x14ac:dyDescent="0.3">
      <c r="F774" s="314"/>
      <c r="G774" s="314"/>
      <c r="I774" s="120"/>
      <c r="Q774" s="122"/>
      <c r="R774" s="122"/>
    </row>
    <row r="775" spans="6:18" ht="14.25" customHeight="1" x14ac:dyDescent="0.3">
      <c r="F775" s="314"/>
      <c r="G775" s="314"/>
      <c r="I775" s="120"/>
      <c r="Q775" s="122"/>
      <c r="R775" s="122"/>
    </row>
    <row r="776" spans="6:18" ht="14.25" customHeight="1" x14ac:dyDescent="0.3">
      <c r="F776" s="314"/>
      <c r="G776" s="314"/>
      <c r="I776" s="120"/>
      <c r="Q776" s="122"/>
      <c r="R776" s="122"/>
    </row>
    <row r="777" spans="6:18" ht="14.25" customHeight="1" x14ac:dyDescent="0.3">
      <c r="F777" s="314"/>
      <c r="G777" s="314"/>
      <c r="I777" s="120"/>
      <c r="Q777" s="122"/>
      <c r="R777" s="122"/>
    </row>
    <row r="778" spans="6:18" ht="14.25" customHeight="1" x14ac:dyDescent="0.3">
      <c r="F778" s="314"/>
      <c r="G778" s="314"/>
      <c r="I778" s="120"/>
      <c r="Q778" s="122"/>
      <c r="R778" s="122"/>
    </row>
    <row r="779" spans="6:18" ht="14.25" customHeight="1" x14ac:dyDescent="0.3">
      <c r="F779" s="314"/>
      <c r="G779" s="314"/>
      <c r="I779" s="120"/>
      <c r="Q779" s="122"/>
      <c r="R779" s="122"/>
    </row>
    <row r="780" spans="6:18" ht="14.25" customHeight="1" x14ac:dyDescent="0.3">
      <c r="F780" s="314"/>
      <c r="G780" s="314"/>
      <c r="I780" s="120"/>
      <c r="Q780" s="122"/>
      <c r="R780" s="122"/>
    </row>
    <row r="781" spans="6:18" ht="14.25" customHeight="1" x14ac:dyDescent="0.3">
      <c r="F781" s="314"/>
      <c r="G781" s="314"/>
      <c r="I781" s="120"/>
      <c r="Q781" s="122"/>
      <c r="R781" s="122"/>
    </row>
    <row r="782" spans="6:18" ht="14.25" customHeight="1" x14ac:dyDescent="0.3">
      <c r="F782" s="314"/>
      <c r="G782" s="314"/>
      <c r="I782" s="120"/>
      <c r="Q782" s="122"/>
      <c r="R782" s="122"/>
    </row>
    <row r="783" spans="6:18" ht="14.25" customHeight="1" x14ac:dyDescent="0.3">
      <c r="F783" s="314"/>
      <c r="G783" s="314"/>
      <c r="I783" s="120"/>
      <c r="Q783" s="122"/>
      <c r="R783" s="122"/>
    </row>
    <row r="784" spans="6:18" ht="14.25" customHeight="1" x14ac:dyDescent="0.3">
      <c r="F784" s="314"/>
      <c r="G784" s="314"/>
      <c r="I784" s="120"/>
      <c r="Q784" s="122"/>
      <c r="R784" s="122"/>
    </row>
    <row r="785" spans="6:18" ht="14.25" customHeight="1" x14ac:dyDescent="0.3">
      <c r="F785" s="314"/>
      <c r="G785" s="314"/>
      <c r="I785" s="120"/>
      <c r="Q785" s="122"/>
      <c r="R785" s="122"/>
    </row>
    <row r="786" spans="6:18" ht="14.25" customHeight="1" x14ac:dyDescent="0.3">
      <c r="F786" s="314"/>
      <c r="G786" s="314"/>
      <c r="I786" s="120"/>
      <c r="Q786" s="122"/>
      <c r="R786" s="122"/>
    </row>
    <row r="787" spans="6:18" ht="14.25" customHeight="1" x14ac:dyDescent="0.3">
      <c r="F787" s="314"/>
      <c r="G787" s="314"/>
      <c r="I787" s="120"/>
      <c r="Q787" s="122"/>
      <c r="R787" s="122"/>
    </row>
    <row r="788" spans="6:18" ht="14.25" customHeight="1" x14ac:dyDescent="0.3">
      <c r="F788" s="314"/>
      <c r="G788" s="314"/>
      <c r="I788" s="120"/>
      <c r="Q788" s="122"/>
      <c r="R788" s="122"/>
    </row>
    <row r="789" spans="6:18" ht="14.25" customHeight="1" x14ac:dyDescent="0.3">
      <c r="F789" s="314"/>
      <c r="G789" s="314"/>
      <c r="I789" s="120"/>
      <c r="Q789" s="122"/>
      <c r="R789" s="122"/>
    </row>
    <row r="790" spans="6:18" ht="14.25" customHeight="1" x14ac:dyDescent="0.3">
      <c r="F790" s="314"/>
      <c r="G790" s="314"/>
      <c r="I790" s="120"/>
      <c r="Q790" s="122"/>
      <c r="R790" s="122"/>
    </row>
    <row r="791" spans="6:18" ht="14.25" customHeight="1" x14ac:dyDescent="0.3">
      <c r="F791" s="314"/>
      <c r="G791" s="314"/>
      <c r="I791" s="120"/>
      <c r="Q791" s="122"/>
      <c r="R791" s="122"/>
    </row>
    <row r="792" spans="6:18" ht="14.25" customHeight="1" x14ac:dyDescent="0.3">
      <c r="F792" s="314"/>
      <c r="G792" s="314"/>
      <c r="I792" s="120"/>
      <c r="Q792" s="122"/>
      <c r="R792" s="122"/>
    </row>
    <row r="793" spans="6:18" ht="14.25" customHeight="1" x14ac:dyDescent="0.3">
      <c r="F793" s="314"/>
      <c r="G793" s="314"/>
      <c r="I793" s="120"/>
      <c r="Q793" s="122"/>
      <c r="R793" s="122"/>
    </row>
    <row r="794" spans="6:18" ht="14.25" customHeight="1" x14ac:dyDescent="0.3">
      <c r="F794" s="314"/>
      <c r="G794" s="314"/>
      <c r="I794" s="120"/>
      <c r="Q794" s="122"/>
      <c r="R794" s="122"/>
    </row>
    <row r="795" spans="6:18" ht="14.25" customHeight="1" x14ac:dyDescent="0.3">
      <c r="F795" s="314"/>
      <c r="G795" s="314"/>
      <c r="I795" s="120"/>
      <c r="Q795" s="122"/>
      <c r="R795" s="122"/>
    </row>
    <row r="796" spans="6:18" ht="14.25" customHeight="1" x14ac:dyDescent="0.3">
      <c r="F796" s="314"/>
      <c r="G796" s="314"/>
      <c r="I796" s="120"/>
      <c r="Q796" s="122"/>
      <c r="R796" s="122"/>
    </row>
    <row r="797" spans="6:18" ht="14.25" customHeight="1" x14ac:dyDescent="0.3">
      <c r="F797" s="314"/>
      <c r="G797" s="314"/>
      <c r="I797" s="120"/>
      <c r="Q797" s="122"/>
      <c r="R797" s="122"/>
    </row>
    <row r="798" spans="6:18" ht="14.25" customHeight="1" x14ac:dyDescent="0.3">
      <c r="F798" s="314"/>
      <c r="G798" s="314"/>
      <c r="I798" s="120"/>
      <c r="Q798" s="122"/>
      <c r="R798" s="122"/>
    </row>
    <row r="799" spans="6:18" ht="14.25" customHeight="1" x14ac:dyDescent="0.3">
      <c r="F799" s="314"/>
      <c r="G799" s="314"/>
      <c r="I799" s="120"/>
      <c r="Q799" s="122"/>
      <c r="R799" s="122"/>
    </row>
    <row r="800" spans="6:18" ht="14.25" customHeight="1" x14ac:dyDescent="0.3">
      <c r="F800" s="314"/>
      <c r="G800" s="314"/>
      <c r="I800" s="120"/>
      <c r="Q800" s="122"/>
      <c r="R800" s="122"/>
    </row>
    <row r="801" spans="6:18" ht="14.25" customHeight="1" x14ac:dyDescent="0.3">
      <c r="F801" s="314"/>
      <c r="G801" s="314"/>
      <c r="I801" s="120"/>
      <c r="Q801" s="122"/>
      <c r="R801" s="122"/>
    </row>
    <row r="802" spans="6:18" ht="14.25" customHeight="1" x14ac:dyDescent="0.3">
      <c r="F802" s="314"/>
      <c r="G802" s="314"/>
      <c r="I802" s="120"/>
      <c r="Q802" s="122"/>
      <c r="R802" s="122"/>
    </row>
    <row r="803" spans="6:18" ht="14.25" customHeight="1" x14ac:dyDescent="0.3">
      <c r="F803" s="314"/>
      <c r="G803" s="314"/>
      <c r="I803" s="120"/>
      <c r="Q803" s="122"/>
      <c r="R803" s="122"/>
    </row>
    <row r="804" spans="6:18" ht="14.25" customHeight="1" x14ac:dyDescent="0.3">
      <c r="F804" s="314"/>
      <c r="G804" s="314"/>
      <c r="I804" s="120"/>
      <c r="Q804" s="122"/>
      <c r="R804" s="122"/>
    </row>
    <row r="805" spans="6:18" ht="14.25" customHeight="1" x14ac:dyDescent="0.3">
      <c r="F805" s="314"/>
      <c r="G805" s="314"/>
      <c r="I805" s="120"/>
      <c r="Q805" s="122"/>
      <c r="R805" s="122"/>
    </row>
    <row r="806" spans="6:18" ht="14.25" customHeight="1" x14ac:dyDescent="0.3">
      <c r="F806" s="314"/>
      <c r="G806" s="314"/>
      <c r="I806" s="120"/>
      <c r="Q806" s="122"/>
      <c r="R806" s="122"/>
    </row>
    <row r="807" spans="6:18" ht="14.25" customHeight="1" x14ac:dyDescent="0.3">
      <c r="F807" s="314"/>
      <c r="G807" s="314"/>
      <c r="I807" s="120"/>
      <c r="Q807" s="122"/>
      <c r="R807" s="122"/>
    </row>
    <row r="808" spans="6:18" ht="14.25" customHeight="1" x14ac:dyDescent="0.3">
      <c r="F808" s="314"/>
      <c r="G808" s="314"/>
      <c r="I808" s="120"/>
      <c r="Q808" s="122"/>
      <c r="R808" s="122"/>
    </row>
    <row r="809" spans="6:18" ht="14.25" customHeight="1" x14ac:dyDescent="0.3">
      <c r="F809" s="314"/>
      <c r="G809" s="314"/>
      <c r="I809" s="120"/>
      <c r="Q809" s="122"/>
      <c r="R809" s="122"/>
    </row>
    <row r="810" spans="6:18" ht="14.25" customHeight="1" x14ac:dyDescent="0.3">
      <c r="F810" s="314"/>
      <c r="G810" s="314"/>
      <c r="I810" s="120"/>
      <c r="Q810" s="122"/>
      <c r="R810" s="122"/>
    </row>
    <row r="811" spans="6:18" ht="14.25" customHeight="1" x14ac:dyDescent="0.3">
      <c r="F811" s="314"/>
      <c r="G811" s="314"/>
      <c r="I811" s="120"/>
      <c r="Q811" s="122"/>
      <c r="R811" s="122"/>
    </row>
    <row r="812" spans="6:18" ht="14.25" customHeight="1" x14ac:dyDescent="0.3">
      <c r="F812" s="314"/>
      <c r="G812" s="314"/>
      <c r="I812" s="120"/>
      <c r="Q812" s="122"/>
      <c r="R812" s="122"/>
    </row>
    <row r="813" spans="6:18" ht="14.25" customHeight="1" x14ac:dyDescent="0.3">
      <c r="F813" s="314"/>
      <c r="G813" s="314"/>
      <c r="I813" s="120"/>
      <c r="Q813" s="122"/>
      <c r="R813" s="122"/>
    </row>
    <row r="814" spans="6:18" ht="14.25" customHeight="1" x14ac:dyDescent="0.3">
      <c r="F814" s="314"/>
      <c r="G814" s="314"/>
      <c r="I814" s="120"/>
      <c r="Q814" s="122"/>
      <c r="R814" s="122"/>
    </row>
    <row r="815" spans="6:18" ht="14.25" customHeight="1" x14ac:dyDescent="0.3">
      <c r="F815" s="314"/>
      <c r="G815" s="314"/>
      <c r="I815" s="120"/>
      <c r="Q815" s="122"/>
      <c r="R815" s="122"/>
    </row>
    <row r="816" spans="6:18" ht="14.25" customHeight="1" x14ac:dyDescent="0.3">
      <c r="F816" s="314"/>
      <c r="G816" s="314"/>
      <c r="I816" s="120"/>
      <c r="Q816" s="122"/>
      <c r="R816" s="122"/>
    </row>
    <row r="817" spans="6:18" ht="14.25" customHeight="1" x14ac:dyDescent="0.3">
      <c r="F817" s="314"/>
      <c r="G817" s="314"/>
      <c r="I817" s="120"/>
      <c r="Q817" s="122"/>
      <c r="R817" s="122"/>
    </row>
    <row r="818" spans="6:18" ht="14.25" customHeight="1" x14ac:dyDescent="0.3">
      <c r="F818" s="314"/>
      <c r="G818" s="314"/>
      <c r="I818" s="120"/>
      <c r="Q818" s="122"/>
      <c r="R818" s="122"/>
    </row>
    <row r="819" spans="6:18" ht="14.25" customHeight="1" x14ac:dyDescent="0.3">
      <c r="F819" s="314"/>
      <c r="G819" s="314"/>
      <c r="I819" s="120"/>
      <c r="Q819" s="122"/>
      <c r="R819" s="122"/>
    </row>
    <row r="820" spans="6:18" ht="14.25" customHeight="1" x14ac:dyDescent="0.3">
      <c r="F820" s="314"/>
      <c r="G820" s="314"/>
      <c r="I820" s="120"/>
      <c r="Q820" s="122"/>
      <c r="R820" s="122"/>
    </row>
    <row r="821" spans="6:18" ht="14.25" customHeight="1" x14ac:dyDescent="0.3">
      <c r="F821" s="314"/>
      <c r="G821" s="314"/>
      <c r="I821" s="120"/>
      <c r="Q821" s="122"/>
      <c r="R821" s="122"/>
    </row>
    <row r="822" spans="6:18" ht="14.25" customHeight="1" x14ac:dyDescent="0.3">
      <c r="F822" s="314"/>
      <c r="G822" s="314"/>
      <c r="I822" s="120"/>
      <c r="Q822" s="122"/>
      <c r="R822" s="122"/>
    </row>
    <row r="823" spans="6:18" ht="14.25" customHeight="1" x14ac:dyDescent="0.3">
      <c r="F823" s="314"/>
      <c r="G823" s="314"/>
      <c r="I823" s="120"/>
      <c r="Q823" s="122"/>
      <c r="R823" s="122"/>
    </row>
    <row r="824" spans="6:18" ht="14.25" customHeight="1" x14ac:dyDescent="0.3">
      <c r="F824" s="314"/>
      <c r="G824" s="314"/>
      <c r="I824" s="120"/>
      <c r="Q824" s="122"/>
      <c r="R824" s="122"/>
    </row>
    <row r="825" spans="6:18" ht="14.25" customHeight="1" x14ac:dyDescent="0.3">
      <c r="F825" s="314"/>
      <c r="G825" s="314"/>
      <c r="I825" s="120"/>
      <c r="Q825" s="122"/>
      <c r="R825" s="122"/>
    </row>
    <row r="826" spans="6:18" ht="14.25" customHeight="1" x14ac:dyDescent="0.3">
      <c r="F826" s="314"/>
      <c r="G826" s="314"/>
      <c r="I826" s="120"/>
      <c r="Q826" s="122"/>
      <c r="R826" s="122"/>
    </row>
    <row r="827" spans="6:18" ht="14.25" customHeight="1" x14ac:dyDescent="0.3">
      <c r="F827" s="314"/>
      <c r="G827" s="314"/>
      <c r="I827" s="120"/>
      <c r="Q827" s="122"/>
      <c r="R827" s="122"/>
    </row>
    <row r="828" spans="6:18" ht="14.25" customHeight="1" x14ac:dyDescent="0.3">
      <c r="F828" s="314"/>
      <c r="G828" s="314"/>
      <c r="I828" s="120"/>
      <c r="Q828" s="122"/>
      <c r="R828" s="122"/>
    </row>
    <row r="829" spans="6:18" ht="14.25" customHeight="1" x14ac:dyDescent="0.3">
      <c r="F829" s="314"/>
      <c r="G829" s="314"/>
      <c r="I829" s="120"/>
      <c r="Q829" s="122"/>
      <c r="R829" s="122"/>
    </row>
    <row r="830" spans="6:18" ht="14.25" customHeight="1" x14ac:dyDescent="0.3">
      <c r="F830" s="314"/>
      <c r="G830" s="314"/>
      <c r="I830" s="120"/>
      <c r="Q830" s="122"/>
      <c r="R830" s="122"/>
    </row>
    <row r="831" spans="6:18" ht="14.25" customHeight="1" x14ac:dyDescent="0.3">
      <c r="F831" s="314"/>
      <c r="G831" s="314"/>
      <c r="I831" s="120"/>
      <c r="Q831" s="122"/>
      <c r="R831" s="122"/>
    </row>
    <row r="832" spans="6:18" ht="14.25" customHeight="1" x14ac:dyDescent="0.3">
      <c r="F832" s="314"/>
      <c r="G832" s="314"/>
      <c r="I832" s="120"/>
      <c r="Q832" s="122"/>
      <c r="R832" s="122"/>
    </row>
    <row r="833" spans="6:18" ht="14.25" customHeight="1" x14ac:dyDescent="0.3">
      <c r="F833" s="314"/>
      <c r="G833" s="314"/>
      <c r="I833" s="120"/>
      <c r="Q833" s="122"/>
      <c r="R833" s="122"/>
    </row>
    <row r="834" spans="6:18" ht="14.25" customHeight="1" x14ac:dyDescent="0.3">
      <c r="F834" s="314"/>
      <c r="G834" s="314"/>
      <c r="I834" s="120"/>
      <c r="Q834" s="122"/>
      <c r="R834" s="122"/>
    </row>
    <row r="835" spans="6:18" ht="14.25" customHeight="1" x14ac:dyDescent="0.3">
      <c r="F835" s="314"/>
      <c r="G835" s="314"/>
      <c r="I835" s="120"/>
      <c r="Q835" s="122"/>
      <c r="R835" s="122"/>
    </row>
    <row r="836" spans="6:18" ht="14.25" customHeight="1" x14ac:dyDescent="0.3">
      <c r="F836" s="314"/>
      <c r="G836" s="314"/>
      <c r="I836" s="120"/>
      <c r="Q836" s="122"/>
      <c r="R836" s="122"/>
    </row>
    <row r="837" spans="6:18" ht="14.25" customHeight="1" x14ac:dyDescent="0.3">
      <c r="F837" s="314"/>
      <c r="G837" s="314"/>
      <c r="I837" s="120"/>
      <c r="Q837" s="122"/>
      <c r="R837" s="122"/>
    </row>
    <row r="838" spans="6:18" ht="14.25" customHeight="1" x14ac:dyDescent="0.3">
      <c r="F838" s="314"/>
      <c r="G838" s="314"/>
      <c r="I838" s="120"/>
      <c r="Q838" s="122"/>
      <c r="R838" s="122"/>
    </row>
    <row r="839" spans="6:18" ht="14.25" customHeight="1" x14ac:dyDescent="0.3">
      <c r="F839" s="314"/>
      <c r="G839" s="314"/>
      <c r="I839" s="120"/>
      <c r="Q839" s="122"/>
      <c r="R839" s="122"/>
    </row>
    <row r="840" spans="6:18" ht="14.25" customHeight="1" x14ac:dyDescent="0.3">
      <c r="F840" s="314"/>
      <c r="G840" s="314"/>
      <c r="I840" s="120"/>
      <c r="Q840" s="122"/>
      <c r="R840" s="122"/>
    </row>
    <row r="841" spans="6:18" ht="14.25" customHeight="1" x14ac:dyDescent="0.3">
      <c r="F841" s="314"/>
      <c r="G841" s="314"/>
      <c r="I841" s="120"/>
      <c r="Q841" s="122"/>
      <c r="R841" s="122"/>
    </row>
    <row r="842" spans="6:18" ht="14.25" customHeight="1" x14ac:dyDescent="0.3">
      <c r="F842" s="314"/>
      <c r="G842" s="314"/>
      <c r="I842" s="120"/>
      <c r="Q842" s="122"/>
      <c r="R842" s="122"/>
    </row>
    <row r="843" spans="6:18" ht="14.25" customHeight="1" x14ac:dyDescent="0.3">
      <c r="F843" s="314"/>
      <c r="G843" s="314"/>
      <c r="I843" s="120"/>
      <c r="Q843" s="122"/>
      <c r="R843" s="122"/>
    </row>
    <row r="844" spans="6:18" ht="14.25" customHeight="1" x14ac:dyDescent="0.3">
      <c r="F844" s="314"/>
      <c r="G844" s="314"/>
      <c r="I844" s="120"/>
      <c r="Q844" s="122"/>
      <c r="R844" s="122"/>
    </row>
    <row r="845" spans="6:18" ht="14.25" customHeight="1" x14ac:dyDescent="0.3">
      <c r="F845" s="314"/>
      <c r="G845" s="314"/>
      <c r="I845" s="120"/>
      <c r="Q845" s="122"/>
      <c r="R845" s="122"/>
    </row>
    <row r="846" spans="6:18" ht="14.25" customHeight="1" x14ac:dyDescent="0.3">
      <c r="F846" s="314"/>
      <c r="G846" s="314"/>
      <c r="I846" s="120"/>
      <c r="Q846" s="122"/>
      <c r="R846" s="122"/>
    </row>
    <row r="847" spans="6:18" ht="14.25" customHeight="1" x14ac:dyDescent="0.3">
      <c r="F847" s="314"/>
      <c r="G847" s="314"/>
      <c r="I847" s="120"/>
      <c r="Q847" s="122"/>
      <c r="R847" s="122"/>
    </row>
    <row r="848" spans="6:18" ht="14.25" customHeight="1" x14ac:dyDescent="0.3">
      <c r="F848" s="314"/>
      <c r="G848" s="314"/>
      <c r="I848" s="120"/>
      <c r="Q848" s="122"/>
      <c r="R848" s="122"/>
    </row>
    <row r="849" spans="6:18" ht="14.25" customHeight="1" x14ac:dyDescent="0.3">
      <c r="F849" s="314"/>
      <c r="G849" s="314"/>
      <c r="I849" s="120"/>
      <c r="Q849" s="122"/>
      <c r="R849" s="122"/>
    </row>
    <row r="850" spans="6:18" ht="14.25" customHeight="1" x14ac:dyDescent="0.3">
      <c r="F850" s="314"/>
      <c r="G850" s="314"/>
      <c r="I850" s="120"/>
      <c r="Q850" s="122"/>
      <c r="R850" s="122"/>
    </row>
    <row r="851" spans="6:18" ht="14.25" customHeight="1" x14ac:dyDescent="0.3">
      <c r="F851" s="314"/>
      <c r="G851" s="314"/>
      <c r="I851" s="120"/>
      <c r="Q851" s="122"/>
      <c r="R851" s="122"/>
    </row>
    <row r="852" spans="6:18" ht="14.25" customHeight="1" x14ac:dyDescent="0.3">
      <c r="F852" s="314"/>
      <c r="G852" s="314"/>
      <c r="I852" s="120"/>
      <c r="Q852" s="122"/>
      <c r="R852" s="122"/>
    </row>
    <row r="853" spans="6:18" ht="14.25" customHeight="1" x14ac:dyDescent="0.3">
      <c r="F853" s="314"/>
      <c r="G853" s="314"/>
      <c r="I853" s="120"/>
      <c r="Q853" s="122"/>
      <c r="R853" s="122"/>
    </row>
    <row r="854" spans="6:18" ht="14.25" customHeight="1" x14ac:dyDescent="0.3">
      <c r="F854" s="314"/>
      <c r="G854" s="314"/>
      <c r="I854" s="120"/>
      <c r="Q854" s="122"/>
      <c r="R854" s="122"/>
    </row>
    <row r="855" spans="6:18" ht="14.25" customHeight="1" x14ac:dyDescent="0.3">
      <c r="F855" s="314"/>
      <c r="G855" s="314"/>
      <c r="I855" s="120"/>
      <c r="Q855" s="122"/>
      <c r="R855" s="122"/>
    </row>
    <row r="856" spans="6:18" ht="14.25" customHeight="1" x14ac:dyDescent="0.3">
      <c r="F856" s="314"/>
      <c r="G856" s="314"/>
      <c r="I856" s="120"/>
      <c r="Q856" s="122"/>
      <c r="R856" s="122"/>
    </row>
    <row r="857" spans="6:18" ht="14.25" customHeight="1" x14ac:dyDescent="0.3">
      <c r="F857" s="314"/>
      <c r="G857" s="314"/>
      <c r="I857" s="120"/>
      <c r="Q857" s="122"/>
      <c r="R857" s="122"/>
    </row>
    <row r="858" spans="6:18" ht="14.25" customHeight="1" x14ac:dyDescent="0.3">
      <c r="F858" s="314"/>
      <c r="G858" s="314"/>
      <c r="I858" s="120"/>
      <c r="Q858" s="122"/>
      <c r="R858" s="122"/>
    </row>
    <row r="859" spans="6:18" ht="14.25" customHeight="1" x14ac:dyDescent="0.3">
      <c r="F859" s="314"/>
      <c r="G859" s="314"/>
      <c r="I859" s="120"/>
      <c r="Q859" s="122"/>
      <c r="R859" s="122"/>
    </row>
    <row r="860" spans="6:18" ht="14.25" customHeight="1" x14ac:dyDescent="0.3">
      <c r="F860" s="314"/>
      <c r="G860" s="314"/>
      <c r="I860" s="120"/>
      <c r="Q860" s="122"/>
      <c r="R860" s="122"/>
    </row>
    <row r="861" spans="6:18" ht="14.25" customHeight="1" x14ac:dyDescent="0.3">
      <c r="F861" s="314"/>
      <c r="G861" s="314"/>
      <c r="I861" s="120"/>
      <c r="Q861" s="122"/>
      <c r="R861" s="122"/>
    </row>
    <row r="862" spans="6:18" ht="14.25" customHeight="1" x14ac:dyDescent="0.3">
      <c r="F862" s="314"/>
      <c r="G862" s="314"/>
      <c r="I862" s="120"/>
      <c r="Q862" s="122"/>
      <c r="R862" s="122"/>
    </row>
    <row r="863" spans="6:18" ht="14.25" customHeight="1" x14ac:dyDescent="0.3">
      <c r="F863" s="314"/>
      <c r="G863" s="314"/>
      <c r="I863" s="120"/>
      <c r="Q863" s="122"/>
      <c r="R863" s="122"/>
    </row>
    <row r="864" spans="6:18" ht="14.25" customHeight="1" x14ac:dyDescent="0.3">
      <c r="F864" s="314"/>
      <c r="G864" s="314"/>
      <c r="I864" s="120"/>
      <c r="Q864" s="122"/>
      <c r="R864" s="122"/>
    </row>
    <row r="865" spans="6:18" ht="14.25" customHeight="1" x14ac:dyDescent="0.3">
      <c r="F865" s="314"/>
      <c r="G865" s="314"/>
      <c r="I865" s="120"/>
      <c r="Q865" s="122"/>
      <c r="R865" s="122"/>
    </row>
    <row r="866" spans="6:18" ht="14.25" customHeight="1" x14ac:dyDescent="0.3">
      <c r="F866" s="314"/>
      <c r="G866" s="314"/>
      <c r="I866" s="120"/>
      <c r="Q866" s="122"/>
      <c r="R866" s="122"/>
    </row>
    <row r="867" spans="6:18" ht="14.25" customHeight="1" x14ac:dyDescent="0.3">
      <c r="F867" s="314"/>
      <c r="G867" s="314"/>
      <c r="I867" s="120"/>
      <c r="Q867" s="122"/>
      <c r="R867" s="122"/>
    </row>
    <row r="868" spans="6:18" ht="14.25" customHeight="1" x14ac:dyDescent="0.3">
      <c r="F868" s="314"/>
      <c r="G868" s="314"/>
      <c r="I868" s="120"/>
      <c r="Q868" s="122"/>
      <c r="R868" s="122"/>
    </row>
    <row r="869" spans="6:18" ht="14.25" customHeight="1" x14ac:dyDescent="0.3">
      <c r="F869" s="314"/>
      <c r="G869" s="314"/>
      <c r="I869" s="120"/>
      <c r="Q869" s="122"/>
      <c r="R869" s="122"/>
    </row>
    <row r="870" spans="6:18" ht="14.25" customHeight="1" x14ac:dyDescent="0.3">
      <c r="F870" s="314"/>
      <c r="G870" s="314"/>
      <c r="I870" s="120"/>
      <c r="Q870" s="122"/>
      <c r="R870" s="122"/>
    </row>
    <row r="871" spans="6:18" ht="14.25" customHeight="1" x14ac:dyDescent="0.3">
      <c r="F871" s="314"/>
      <c r="G871" s="314"/>
      <c r="I871" s="120"/>
      <c r="Q871" s="122"/>
      <c r="R871" s="122"/>
    </row>
    <row r="872" spans="6:18" ht="14.25" customHeight="1" x14ac:dyDescent="0.3">
      <c r="F872" s="314"/>
      <c r="G872" s="314"/>
      <c r="I872" s="120"/>
      <c r="Q872" s="122"/>
      <c r="R872" s="122"/>
    </row>
    <row r="873" spans="6:18" ht="14.25" customHeight="1" x14ac:dyDescent="0.3">
      <c r="F873" s="314"/>
      <c r="G873" s="314"/>
      <c r="I873" s="120"/>
      <c r="Q873" s="122"/>
      <c r="R873" s="122"/>
    </row>
    <row r="874" spans="6:18" ht="14.25" customHeight="1" x14ac:dyDescent="0.3">
      <c r="F874" s="314"/>
      <c r="G874" s="314"/>
      <c r="I874" s="120"/>
      <c r="Q874" s="122"/>
      <c r="R874" s="122"/>
    </row>
    <row r="875" spans="6:18" ht="14.25" customHeight="1" x14ac:dyDescent="0.3">
      <c r="F875" s="314"/>
      <c r="G875" s="314"/>
      <c r="I875" s="120"/>
      <c r="Q875" s="122"/>
      <c r="R875" s="122"/>
    </row>
    <row r="876" spans="6:18" ht="14.25" customHeight="1" x14ac:dyDescent="0.3">
      <c r="F876" s="314"/>
      <c r="G876" s="314"/>
      <c r="I876" s="120"/>
      <c r="Q876" s="122"/>
      <c r="R876" s="122"/>
    </row>
    <row r="877" spans="6:18" ht="14.25" customHeight="1" x14ac:dyDescent="0.3">
      <c r="F877" s="314"/>
      <c r="G877" s="314"/>
      <c r="I877" s="120"/>
      <c r="Q877" s="122"/>
      <c r="R877" s="122"/>
    </row>
    <row r="878" spans="6:18" ht="14.25" customHeight="1" x14ac:dyDescent="0.3">
      <c r="F878" s="314"/>
      <c r="G878" s="314"/>
      <c r="I878" s="120"/>
      <c r="Q878" s="122"/>
      <c r="R878" s="122"/>
    </row>
    <row r="879" spans="6:18" ht="14.25" customHeight="1" x14ac:dyDescent="0.3">
      <c r="F879" s="314"/>
      <c r="G879" s="314"/>
      <c r="I879" s="120"/>
      <c r="Q879" s="122"/>
      <c r="R879" s="122"/>
    </row>
    <row r="880" spans="6:18" ht="14.25" customHeight="1" x14ac:dyDescent="0.3">
      <c r="F880" s="314"/>
      <c r="G880" s="314"/>
      <c r="I880" s="120"/>
      <c r="Q880" s="122"/>
      <c r="R880" s="122"/>
    </row>
    <row r="881" spans="6:18" ht="14.25" customHeight="1" x14ac:dyDescent="0.3">
      <c r="F881" s="314"/>
      <c r="G881" s="314"/>
      <c r="I881" s="120"/>
      <c r="Q881" s="122"/>
      <c r="R881" s="122"/>
    </row>
    <row r="882" spans="6:18" ht="14.25" customHeight="1" x14ac:dyDescent="0.3">
      <c r="F882" s="314"/>
      <c r="G882" s="314"/>
      <c r="I882" s="120"/>
      <c r="Q882" s="122"/>
      <c r="R882" s="122"/>
    </row>
    <row r="883" spans="6:18" ht="14.25" customHeight="1" x14ac:dyDescent="0.3">
      <c r="F883" s="314"/>
      <c r="G883" s="314"/>
      <c r="I883" s="120"/>
      <c r="Q883" s="122"/>
      <c r="R883" s="122"/>
    </row>
    <row r="884" spans="6:18" ht="14.25" customHeight="1" x14ac:dyDescent="0.3">
      <c r="F884" s="314"/>
      <c r="G884" s="314"/>
      <c r="I884" s="120"/>
      <c r="Q884" s="122"/>
      <c r="R884" s="122"/>
    </row>
    <row r="885" spans="6:18" ht="14.25" customHeight="1" x14ac:dyDescent="0.3">
      <c r="F885" s="314"/>
      <c r="G885" s="314"/>
      <c r="I885" s="120"/>
      <c r="Q885" s="122"/>
      <c r="R885" s="122"/>
    </row>
    <row r="886" spans="6:18" ht="14.25" customHeight="1" x14ac:dyDescent="0.3">
      <c r="F886" s="314"/>
      <c r="G886" s="314"/>
      <c r="I886" s="120"/>
      <c r="Q886" s="122"/>
      <c r="R886" s="122"/>
    </row>
    <row r="887" spans="6:18" ht="14.25" customHeight="1" x14ac:dyDescent="0.3">
      <c r="F887" s="314"/>
      <c r="G887" s="314"/>
      <c r="I887" s="120"/>
      <c r="Q887" s="122"/>
      <c r="R887" s="122"/>
    </row>
    <row r="888" spans="6:18" ht="14.25" customHeight="1" x14ac:dyDescent="0.3">
      <c r="F888" s="314"/>
      <c r="G888" s="314"/>
      <c r="I888" s="120"/>
      <c r="Q888" s="122"/>
      <c r="R888" s="122"/>
    </row>
    <row r="889" spans="6:18" ht="14.25" customHeight="1" x14ac:dyDescent="0.3">
      <c r="F889" s="314"/>
      <c r="G889" s="314"/>
      <c r="I889" s="120"/>
      <c r="Q889" s="122"/>
      <c r="R889" s="122"/>
    </row>
    <row r="890" spans="6:18" ht="14.25" customHeight="1" x14ac:dyDescent="0.3">
      <c r="F890" s="314"/>
      <c r="G890" s="314"/>
      <c r="I890" s="120"/>
      <c r="Q890" s="122"/>
      <c r="R890" s="122"/>
    </row>
    <row r="891" spans="6:18" ht="14.25" customHeight="1" x14ac:dyDescent="0.3">
      <c r="F891" s="314"/>
      <c r="G891" s="314"/>
      <c r="I891" s="120"/>
      <c r="Q891" s="122"/>
      <c r="R891" s="122"/>
    </row>
    <row r="892" spans="6:18" ht="14.25" customHeight="1" x14ac:dyDescent="0.3">
      <c r="F892" s="314"/>
      <c r="G892" s="314"/>
      <c r="I892" s="120"/>
      <c r="Q892" s="122"/>
      <c r="R892" s="122"/>
    </row>
    <row r="893" spans="6:18" ht="14.25" customHeight="1" x14ac:dyDescent="0.3">
      <c r="F893" s="314"/>
      <c r="G893" s="314"/>
      <c r="I893" s="120"/>
      <c r="Q893" s="122"/>
      <c r="R893" s="122"/>
    </row>
    <row r="894" spans="6:18" ht="14.25" customHeight="1" x14ac:dyDescent="0.3">
      <c r="F894" s="314"/>
      <c r="G894" s="314"/>
      <c r="I894" s="120"/>
      <c r="Q894" s="122"/>
      <c r="R894" s="122"/>
    </row>
    <row r="895" spans="6:18" ht="14.25" customHeight="1" x14ac:dyDescent="0.3">
      <c r="F895" s="314"/>
      <c r="G895" s="314"/>
      <c r="I895" s="120"/>
      <c r="Q895" s="122"/>
      <c r="R895" s="122"/>
    </row>
    <row r="896" spans="6:18" ht="14.25" customHeight="1" x14ac:dyDescent="0.3">
      <c r="F896" s="314"/>
      <c r="G896" s="314"/>
      <c r="I896" s="120"/>
      <c r="Q896" s="122"/>
      <c r="R896" s="122"/>
    </row>
    <row r="897" spans="6:18" ht="14.25" customHeight="1" x14ac:dyDescent="0.3">
      <c r="F897" s="314"/>
      <c r="G897" s="314"/>
      <c r="I897" s="120"/>
      <c r="Q897" s="122"/>
      <c r="R897" s="122"/>
    </row>
    <row r="898" spans="6:18" ht="14.25" customHeight="1" x14ac:dyDescent="0.3">
      <c r="F898" s="314"/>
      <c r="G898" s="314"/>
      <c r="I898" s="120"/>
      <c r="Q898" s="122"/>
      <c r="R898" s="122"/>
    </row>
    <row r="899" spans="6:18" ht="14.25" customHeight="1" x14ac:dyDescent="0.3">
      <c r="F899" s="314"/>
      <c r="G899" s="314"/>
      <c r="I899" s="120"/>
      <c r="Q899" s="122"/>
      <c r="R899" s="122"/>
    </row>
    <row r="900" spans="6:18" ht="14.25" customHeight="1" x14ac:dyDescent="0.3">
      <c r="F900" s="314"/>
      <c r="G900" s="314"/>
      <c r="I900" s="120"/>
      <c r="Q900" s="122"/>
      <c r="R900" s="122"/>
    </row>
    <row r="901" spans="6:18" ht="14.25" customHeight="1" x14ac:dyDescent="0.3">
      <c r="F901" s="314"/>
      <c r="G901" s="314"/>
      <c r="I901" s="120"/>
      <c r="Q901" s="122"/>
      <c r="R901" s="122"/>
    </row>
    <row r="902" spans="6:18" ht="14.25" customHeight="1" x14ac:dyDescent="0.3">
      <c r="F902" s="314"/>
      <c r="G902" s="314"/>
      <c r="I902" s="120"/>
      <c r="Q902" s="122"/>
      <c r="R902" s="122"/>
    </row>
    <row r="903" spans="6:18" ht="14.25" customHeight="1" x14ac:dyDescent="0.3">
      <c r="F903" s="314"/>
      <c r="G903" s="314"/>
      <c r="I903" s="120"/>
      <c r="Q903" s="122"/>
      <c r="R903" s="122"/>
    </row>
    <row r="904" spans="6:18" ht="14.25" customHeight="1" x14ac:dyDescent="0.3">
      <c r="F904" s="314"/>
      <c r="G904" s="314"/>
      <c r="I904" s="120"/>
      <c r="Q904" s="122"/>
      <c r="R904" s="122"/>
    </row>
    <row r="905" spans="6:18" ht="14.25" customHeight="1" x14ac:dyDescent="0.3">
      <c r="F905" s="314"/>
      <c r="G905" s="314"/>
      <c r="I905" s="120"/>
      <c r="Q905" s="122"/>
      <c r="R905" s="122"/>
    </row>
    <row r="906" spans="6:18" ht="14.25" customHeight="1" x14ac:dyDescent="0.3">
      <c r="F906" s="314"/>
      <c r="G906" s="314"/>
      <c r="I906" s="120"/>
      <c r="Q906" s="122"/>
      <c r="R906" s="122"/>
    </row>
    <row r="907" spans="6:18" ht="14.25" customHeight="1" x14ac:dyDescent="0.3">
      <c r="F907" s="314"/>
      <c r="G907" s="314"/>
      <c r="I907" s="120"/>
      <c r="Q907" s="122"/>
      <c r="R907" s="122"/>
    </row>
    <row r="908" spans="6:18" ht="14.25" customHeight="1" x14ac:dyDescent="0.3">
      <c r="F908" s="314"/>
      <c r="G908" s="314"/>
      <c r="I908" s="120"/>
      <c r="Q908" s="122"/>
      <c r="R908" s="122"/>
    </row>
    <row r="909" spans="6:18" ht="14.25" customHeight="1" x14ac:dyDescent="0.3">
      <c r="F909" s="314"/>
      <c r="G909" s="314"/>
      <c r="I909" s="120"/>
      <c r="Q909" s="122"/>
      <c r="R909" s="122"/>
    </row>
    <row r="910" spans="6:18" ht="14.25" customHeight="1" x14ac:dyDescent="0.3">
      <c r="F910" s="314"/>
      <c r="G910" s="314"/>
      <c r="I910" s="120"/>
      <c r="Q910" s="122"/>
      <c r="R910" s="122"/>
    </row>
    <row r="911" spans="6:18" ht="14.25" customHeight="1" x14ac:dyDescent="0.3">
      <c r="F911" s="314"/>
      <c r="G911" s="314"/>
      <c r="I911" s="120"/>
      <c r="Q911" s="122"/>
      <c r="R911" s="122"/>
    </row>
    <row r="912" spans="6:18" ht="14.25" customHeight="1" x14ac:dyDescent="0.3">
      <c r="F912" s="314"/>
      <c r="G912" s="314"/>
      <c r="I912" s="120"/>
      <c r="Q912" s="122"/>
      <c r="R912" s="122"/>
    </row>
    <row r="913" spans="6:18" ht="14.25" customHeight="1" x14ac:dyDescent="0.3">
      <c r="F913" s="314"/>
      <c r="G913" s="314"/>
      <c r="I913" s="120"/>
      <c r="Q913" s="122"/>
      <c r="R913" s="122"/>
    </row>
    <row r="914" spans="6:18" ht="14.25" customHeight="1" x14ac:dyDescent="0.3">
      <c r="F914" s="314"/>
      <c r="G914" s="314"/>
      <c r="I914" s="120"/>
      <c r="Q914" s="122"/>
      <c r="R914" s="122"/>
    </row>
    <row r="915" spans="6:18" ht="14.25" customHeight="1" x14ac:dyDescent="0.3">
      <c r="F915" s="314"/>
      <c r="G915" s="314"/>
      <c r="I915" s="120"/>
      <c r="Q915" s="122"/>
      <c r="R915" s="122"/>
    </row>
    <row r="916" spans="6:18" ht="14.25" customHeight="1" x14ac:dyDescent="0.3">
      <c r="F916" s="314"/>
      <c r="G916" s="314"/>
      <c r="I916" s="120"/>
      <c r="Q916" s="122"/>
      <c r="R916" s="122"/>
    </row>
    <row r="917" spans="6:18" ht="14.25" customHeight="1" x14ac:dyDescent="0.3">
      <c r="F917" s="314"/>
      <c r="G917" s="314"/>
      <c r="I917" s="120"/>
      <c r="Q917" s="122"/>
      <c r="R917" s="122"/>
    </row>
    <row r="918" spans="6:18" ht="14.25" customHeight="1" x14ac:dyDescent="0.3">
      <c r="F918" s="314"/>
      <c r="G918" s="314"/>
      <c r="I918" s="120"/>
      <c r="Q918" s="122"/>
      <c r="R918" s="122"/>
    </row>
    <row r="919" spans="6:18" ht="14.25" customHeight="1" x14ac:dyDescent="0.3">
      <c r="F919" s="314"/>
      <c r="G919" s="314"/>
      <c r="I919" s="120"/>
      <c r="Q919" s="122"/>
      <c r="R919" s="122"/>
    </row>
    <row r="920" spans="6:18" ht="14.25" customHeight="1" x14ac:dyDescent="0.3">
      <c r="F920" s="314"/>
      <c r="G920" s="314"/>
      <c r="I920" s="120"/>
      <c r="Q920" s="122"/>
      <c r="R920" s="122"/>
    </row>
    <row r="921" spans="6:18" ht="14.25" customHeight="1" x14ac:dyDescent="0.3">
      <c r="F921" s="314"/>
      <c r="G921" s="314"/>
      <c r="I921" s="120"/>
      <c r="Q921" s="122"/>
      <c r="R921" s="122"/>
    </row>
    <row r="922" spans="6:18" ht="14.25" customHeight="1" x14ac:dyDescent="0.3">
      <c r="F922" s="314"/>
      <c r="G922" s="314"/>
      <c r="I922" s="120"/>
      <c r="Q922" s="122"/>
      <c r="R922" s="122"/>
    </row>
    <row r="923" spans="6:18" ht="14.25" customHeight="1" x14ac:dyDescent="0.3">
      <c r="F923" s="314"/>
      <c r="G923" s="314"/>
      <c r="I923" s="120"/>
      <c r="Q923" s="122"/>
      <c r="R923" s="122"/>
    </row>
    <row r="924" spans="6:18" ht="14.25" customHeight="1" x14ac:dyDescent="0.3">
      <c r="F924" s="314"/>
      <c r="G924" s="314"/>
      <c r="I924" s="120"/>
      <c r="Q924" s="122"/>
      <c r="R924" s="122"/>
    </row>
    <row r="925" spans="6:18" ht="14.25" customHeight="1" x14ac:dyDescent="0.3">
      <c r="F925" s="314"/>
      <c r="G925" s="314"/>
      <c r="I925" s="120"/>
      <c r="Q925" s="122"/>
      <c r="R925" s="122"/>
    </row>
    <row r="926" spans="6:18" ht="14.25" customHeight="1" x14ac:dyDescent="0.3">
      <c r="F926" s="314"/>
      <c r="G926" s="314"/>
      <c r="I926" s="120"/>
      <c r="Q926" s="122"/>
      <c r="R926" s="122"/>
    </row>
    <row r="927" spans="6:18" ht="14.25" customHeight="1" x14ac:dyDescent="0.3">
      <c r="F927" s="314"/>
      <c r="G927" s="314"/>
      <c r="I927" s="120"/>
      <c r="Q927" s="122"/>
      <c r="R927" s="122"/>
    </row>
    <row r="928" spans="6:18" ht="14.25" customHeight="1" x14ac:dyDescent="0.3">
      <c r="F928" s="314"/>
      <c r="G928" s="314"/>
      <c r="I928" s="120"/>
      <c r="Q928" s="122"/>
      <c r="R928" s="122"/>
    </row>
    <row r="929" spans="6:18" ht="14.25" customHeight="1" x14ac:dyDescent="0.3">
      <c r="F929" s="314"/>
      <c r="G929" s="314"/>
      <c r="I929" s="120"/>
      <c r="Q929" s="122"/>
      <c r="R929" s="122"/>
    </row>
    <row r="930" spans="6:18" ht="14.25" customHeight="1" x14ac:dyDescent="0.3">
      <c r="F930" s="314"/>
      <c r="G930" s="314"/>
      <c r="I930" s="120"/>
      <c r="Q930" s="122"/>
      <c r="R930" s="122"/>
    </row>
    <row r="931" spans="6:18" ht="14.25" customHeight="1" x14ac:dyDescent="0.3">
      <c r="F931" s="314"/>
      <c r="G931" s="314"/>
      <c r="I931" s="120"/>
      <c r="Q931" s="122"/>
      <c r="R931" s="122"/>
    </row>
    <row r="932" spans="6:18" ht="14.25" customHeight="1" x14ac:dyDescent="0.3">
      <c r="F932" s="314"/>
      <c r="G932" s="314"/>
      <c r="I932" s="120"/>
      <c r="Q932" s="122"/>
      <c r="R932" s="122"/>
    </row>
    <row r="933" spans="6:18" ht="14.25" customHeight="1" x14ac:dyDescent="0.3">
      <c r="F933" s="314"/>
      <c r="G933" s="314"/>
      <c r="I933" s="120"/>
      <c r="Q933" s="122"/>
      <c r="R933" s="122"/>
    </row>
    <row r="934" spans="6:18" ht="14.25" customHeight="1" x14ac:dyDescent="0.3">
      <c r="F934" s="314"/>
      <c r="G934" s="314"/>
      <c r="I934" s="120"/>
      <c r="Q934" s="122"/>
      <c r="R934" s="122"/>
    </row>
    <row r="935" spans="6:18" ht="14.25" customHeight="1" x14ac:dyDescent="0.3">
      <c r="F935" s="314"/>
      <c r="G935" s="314"/>
      <c r="I935" s="120"/>
      <c r="Q935" s="122"/>
      <c r="R935" s="122"/>
    </row>
    <row r="936" spans="6:18" ht="14.25" customHeight="1" x14ac:dyDescent="0.3">
      <c r="F936" s="314"/>
      <c r="G936" s="314"/>
      <c r="I936" s="120"/>
      <c r="Q936" s="122"/>
      <c r="R936" s="122"/>
    </row>
    <row r="937" spans="6:18" ht="14.25" customHeight="1" x14ac:dyDescent="0.3">
      <c r="F937" s="314"/>
      <c r="G937" s="314"/>
      <c r="I937" s="120"/>
      <c r="Q937" s="122"/>
      <c r="R937" s="122"/>
    </row>
    <row r="938" spans="6:18" ht="14.25" customHeight="1" x14ac:dyDescent="0.3">
      <c r="F938" s="314"/>
      <c r="G938" s="314"/>
      <c r="I938" s="120"/>
      <c r="Q938" s="122"/>
      <c r="R938" s="122"/>
    </row>
    <row r="939" spans="6:18" ht="14.25" customHeight="1" x14ac:dyDescent="0.3">
      <c r="F939" s="314"/>
      <c r="G939" s="314"/>
      <c r="I939" s="120"/>
      <c r="Q939" s="122"/>
      <c r="R939" s="122"/>
    </row>
    <row r="940" spans="6:18" ht="14.25" customHeight="1" x14ac:dyDescent="0.3">
      <c r="F940" s="314"/>
      <c r="G940" s="314"/>
      <c r="I940" s="120"/>
      <c r="Q940" s="122"/>
      <c r="R940" s="122"/>
    </row>
    <row r="941" spans="6:18" ht="14.25" customHeight="1" x14ac:dyDescent="0.3">
      <c r="F941" s="314"/>
      <c r="G941" s="314"/>
      <c r="I941" s="120"/>
      <c r="Q941" s="122"/>
      <c r="R941" s="122"/>
    </row>
    <row r="942" spans="6:18" ht="14.25" customHeight="1" x14ac:dyDescent="0.3">
      <c r="F942" s="314"/>
      <c r="G942" s="314"/>
      <c r="I942" s="120"/>
      <c r="Q942" s="122"/>
      <c r="R942" s="122"/>
    </row>
    <row r="943" spans="6:18" ht="14.25" customHeight="1" x14ac:dyDescent="0.3">
      <c r="F943" s="314"/>
      <c r="G943" s="314"/>
      <c r="I943" s="120"/>
      <c r="Q943" s="122"/>
      <c r="R943" s="122"/>
    </row>
    <row r="944" spans="6:18" ht="14.25" customHeight="1" x14ac:dyDescent="0.3">
      <c r="F944" s="314"/>
      <c r="G944" s="314"/>
      <c r="I944" s="120"/>
      <c r="Q944" s="122"/>
      <c r="R944" s="122"/>
    </row>
    <row r="945" spans="6:18" ht="14.25" customHeight="1" x14ac:dyDescent="0.3">
      <c r="F945" s="314"/>
      <c r="G945" s="314"/>
      <c r="I945" s="120"/>
      <c r="Q945" s="122"/>
      <c r="R945" s="122"/>
    </row>
    <row r="946" spans="6:18" ht="14.25" customHeight="1" x14ac:dyDescent="0.3">
      <c r="F946" s="314"/>
      <c r="G946" s="314"/>
      <c r="I946" s="120"/>
      <c r="Q946" s="122"/>
      <c r="R946" s="122"/>
    </row>
    <row r="947" spans="6:18" ht="14.25" customHeight="1" x14ac:dyDescent="0.3">
      <c r="F947" s="314"/>
      <c r="G947" s="314"/>
      <c r="I947" s="120"/>
      <c r="Q947" s="122"/>
      <c r="R947" s="122"/>
    </row>
    <row r="948" spans="6:18" ht="14.25" customHeight="1" x14ac:dyDescent="0.3">
      <c r="F948" s="314"/>
      <c r="G948" s="314"/>
      <c r="I948" s="120"/>
      <c r="Q948" s="122"/>
      <c r="R948" s="122"/>
    </row>
    <row r="949" spans="6:18" ht="14.25" customHeight="1" x14ac:dyDescent="0.3">
      <c r="F949" s="314"/>
      <c r="G949" s="314"/>
      <c r="I949" s="120"/>
      <c r="Q949" s="122"/>
      <c r="R949" s="122"/>
    </row>
    <row r="950" spans="6:18" ht="14.25" customHeight="1" x14ac:dyDescent="0.3">
      <c r="F950" s="314"/>
      <c r="G950" s="314"/>
      <c r="I950" s="120"/>
      <c r="Q950" s="122"/>
      <c r="R950" s="122"/>
    </row>
    <row r="951" spans="6:18" ht="14.25" customHeight="1" x14ac:dyDescent="0.3">
      <c r="F951" s="314"/>
      <c r="G951" s="314"/>
      <c r="I951" s="120"/>
      <c r="Q951" s="122"/>
      <c r="R951" s="122"/>
    </row>
    <row r="952" spans="6:18" ht="14.25" customHeight="1" x14ac:dyDescent="0.3">
      <c r="F952" s="314"/>
      <c r="G952" s="314"/>
      <c r="I952" s="120"/>
      <c r="Q952" s="122"/>
      <c r="R952" s="122"/>
    </row>
    <row r="953" spans="6:18" ht="14.25" customHeight="1" x14ac:dyDescent="0.3">
      <c r="F953" s="314"/>
      <c r="G953" s="314"/>
      <c r="I953" s="120"/>
      <c r="Q953" s="122"/>
      <c r="R953" s="122"/>
    </row>
    <row r="954" spans="6:18" ht="14.25" customHeight="1" x14ac:dyDescent="0.3">
      <c r="F954" s="314"/>
      <c r="G954" s="314"/>
      <c r="I954" s="120"/>
      <c r="Q954" s="122"/>
      <c r="R954" s="122"/>
    </row>
    <row r="955" spans="6:18" ht="14.25" customHeight="1" x14ac:dyDescent="0.3">
      <c r="F955" s="314"/>
      <c r="G955" s="314"/>
      <c r="I955" s="120"/>
      <c r="Q955" s="122"/>
      <c r="R955" s="122"/>
    </row>
    <row r="956" spans="6:18" ht="14.25" customHeight="1" x14ac:dyDescent="0.3">
      <c r="F956" s="314"/>
      <c r="G956" s="314"/>
      <c r="I956" s="120"/>
      <c r="Q956" s="122"/>
      <c r="R956" s="122"/>
    </row>
    <row r="957" spans="6:18" ht="14.25" customHeight="1" x14ac:dyDescent="0.3">
      <c r="F957" s="314"/>
      <c r="G957" s="314"/>
      <c r="I957" s="120"/>
      <c r="Q957" s="122"/>
      <c r="R957" s="122"/>
    </row>
    <row r="958" spans="6:18" ht="14.25" customHeight="1" x14ac:dyDescent="0.3">
      <c r="F958" s="314"/>
      <c r="G958" s="314"/>
      <c r="I958" s="120"/>
      <c r="Q958" s="122"/>
      <c r="R958" s="122"/>
    </row>
    <row r="959" spans="6:18" ht="14.25" customHeight="1" x14ac:dyDescent="0.3">
      <c r="F959" s="314"/>
      <c r="G959" s="314"/>
      <c r="I959" s="120"/>
      <c r="Q959" s="122"/>
      <c r="R959" s="122"/>
    </row>
    <row r="960" spans="6:18" ht="14.25" customHeight="1" x14ac:dyDescent="0.3">
      <c r="F960" s="314"/>
      <c r="G960" s="314"/>
      <c r="I960" s="120"/>
      <c r="Q960" s="122"/>
      <c r="R960" s="122"/>
    </row>
    <row r="961" spans="6:18" ht="14.25" customHeight="1" x14ac:dyDescent="0.3">
      <c r="F961" s="314"/>
      <c r="G961" s="314"/>
      <c r="I961" s="120"/>
      <c r="Q961" s="122"/>
      <c r="R961" s="122"/>
    </row>
    <row r="962" spans="6:18" ht="14.25" customHeight="1" x14ac:dyDescent="0.3">
      <c r="F962" s="314"/>
      <c r="G962" s="314"/>
      <c r="I962" s="120"/>
      <c r="Q962" s="122"/>
      <c r="R962" s="122"/>
    </row>
    <row r="963" spans="6:18" ht="14.25" customHeight="1" x14ac:dyDescent="0.3">
      <c r="F963" s="314"/>
      <c r="G963" s="314"/>
      <c r="I963" s="120"/>
      <c r="Q963" s="122"/>
      <c r="R963" s="122"/>
    </row>
    <row r="964" spans="6:18" ht="14.25" customHeight="1" x14ac:dyDescent="0.3">
      <c r="F964" s="314"/>
      <c r="G964" s="314"/>
      <c r="I964" s="120"/>
      <c r="Q964" s="122"/>
      <c r="R964" s="122"/>
    </row>
    <row r="965" spans="6:18" ht="14.25" customHeight="1" x14ac:dyDescent="0.3">
      <c r="F965" s="314"/>
      <c r="G965" s="314"/>
      <c r="I965" s="120"/>
      <c r="Q965" s="122"/>
      <c r="R965" s="122"/>
    </row>
    <row r="966" spans="6:18" ht="14.25" customHeight="1" x14ac:dyDescent="0.3">
      <c r="F966" s="314"/>
      <c r="G966" s="314"/>
      <c r="I966" s="120"/>
      <c r="Q966" s="122"/>
      <c r="R966" s="122"/>
    </row>
    <row r="967" spans="6:18" ht="14.25" customHeight="1" x14ac:dyDescent="0.3">
      <c r="F967" s="314"/>
      <c r="G967" s="314"/>
      <c r="I967" s="120"/>
      <c r="Q967" s="122"/>
      <c r="R967" s="122"/>
    </row>
    <row r="968" spans="6:18" ht="14.25" customHeight="1" x14ac:dyDescent="0.3">
      <c r="F968" s="314"/>
      <c r="G968" s="314"/>
      <c r="I968" s="120"/>
      <c r="Q968" s="122"/>
      <c r="R968" s="122"/>
    </row>
    <row r="969" spans="6:18" ht="14.25" customHeight="1" x14ac:dyDescent="0.3">
      <c r="F969" s="314"/>
      <c r="G969" s="314"/>
      <c r="I969" s="120"/>
      <c r="Q969" s="122"/>
      <c r="R969" s="122"/>
    </row>
    <row r="970" spans="6:18" ht="14.25" customHeight="1" x14ac:dyDescent="0.3">
      <c r="F970" s="314"/>
      <c r="G970" s="314"/>
      <c r="I970" s="120"/>
      <c r="Q970" s="122"/>
      <c r="R970" s="122"/>
    </row>
    <row r="971" spans="6:18" ht="14.25" customHeight="1" x14ac:dyDescent="0.3">
      <c r="F971" s="314"/>
      <c r="G971" s="314"/>
      <c r="I971" s="120"/>
      <c r="Q971" s="122"/>
      <c r="R971" s="122"/>
    </row>
    <row r="972" spans="6:18" ht="14.25" customHeight="1" x14ac:dyDescent="0.3">
      <c r="F972" s="314"/>
      <c r="G972" s="314"/>
      <c r="I972" s="120"/>
      <c r="Q972" s="122"/>
      <c r="R972" s="122"/>
    </row>
    <row r="973" spans="6:18" ht="14.25" customHeight="1" x14ac:dyDescent="0.3">
      <c r="F973" s="314"/>
      <c r="G973" s="314"/>
      <c r="I973" s="120"/>
      <c r="Q973" s="122"/>
      <c r="R973" s="122"/>
    </row>
    <row r="974" spans="6:18" ht="14.25" customHeight="1" x14ac:dyDescent="0.3">
      <c r="F974" s="314"/>
      <c r="G974" s="314"/>
      <c r="I974" s="120"/>
      <c r="Q974" s="122"/>
      <c r="R974" s="122"/>
    </row>
    <row r="975" spans="6:18" ht="14.25" customHeight="1" x14ac:dyDescent="0.3">
      <c r="F975" s="314"/>
      <c r="G975" s="314"/>
      <c r="I975" s="120"/>
      <c r="Q975" s="122"/>
      <c r="R975" s="122"/>
    </row>
    <row r="976" spans="6:18" ht="14.25" customHeight="1" x14ac:dyDescent="0.3">
      <c r="F976" s="314"/>
      <c r="G976" s="314"/>
      <c r="I976" s="120"/>
      <c r="Q976" s="122"/>
      <c r="R976" s="122"/>
    </row>
    <row r="977" spans="6:18" ht="14.25" customHeight="1" x14ac:dyDescent="0.3">
      <c r="F977" s="314"/>
      <c r="G977" s="314"/>
      <c r="I977" s="120"/>
      <c r="Q977" s="122"/>
      <c r="R977" s="122"/>
    </row>
    <row r="978" spans="6:18" ht="14.25" customHeight="1" x14ac:dyDescent="0.3">
      <c r="F978" s="314"/>
      <c r="G978" s="314"/>
      <c r="I978" s="120"/>
      <c r="Q978" s="122"/>
      <c r="R978" s="122"/>
    </row>
    <row r="979" spans="6:18" ht="14.25" customHeight="1" x14ac:dyDescent="0.3">
      <c r="F979" s="314"/>
      <c r="G979" s="314"/>
      <c r="I979" s="120"/>
      <c r="Q979" s="122"/>
      <c r="R979" s="122"/>
    </row>
    <row r="980" spans="6:18" ht="14.25" customHeight="1" x14ac:dyDescent="0.3">
      <c r="F980" s="314"/>
      <c r="G980" s="314"/>
      <c r="I980" s="120"/>
      <c r="Q980" s="122"/>
      <c r="R980" s="122"/>
    </row>
    <row r="981" spans="6:18" ht="14.25" customHeight="1" x14ac:dyDescent="0.3">
      <c r="F981" s="314"/>
      <c r="G981" s="314"/>
      <c r="I981" s="120"/>
      <c r="Q981" s="122"/>
      <c r="R981" s="122"/>
    </row>
    <row r="982" spans="6:18" ht="14.25" customHeight="1" x14ac:dyDescent="0.3">
      <c r="F982" s="314"/>
      <c r="G982" s="314"/>
      <c r="I982" s="120"/>
      <c r="Q982" s="122"/>
      <c r="R982" s="122"/>
    </row>
    <row r="983" spans="6:18" ht="14.25" customHeight="1" x14ac:dyDescent="0.3">
      <c r="F983" s="314"/>
      <c r="G983" s="314"/>
      <c r="I983" s="120"/>
      <c r="Q983" s="122"/>
      <c r="R983" s="122"/>
    </row>
    <row r="984" spans="6:18" ht="14.25" customHeight="1" x14ac:dyDescent="0.3">
      <c r="F984" s="314"/>
      <c r="G984" s="314"/>
      <c r="I984" s="120"/>
      <c r="Q984" s="122"/>
      <c r="R984" s="122"/>
    </row>
    <row r="985" spans="6:18" ht="14.25" customHeight="1" x14ac:dyDescent="0.3">
      <c r="F985" s="314"/>
      <c r="G985" s="314"/>
      <c r="I985" s="120"/>
      <c r="Q985" s="122"/>
      <c r="R985" s="122"/>
    </row>
    <row r="986" spans="6:18" ht="14.25" customHeight="1" x14ac:dyDescent="0.3">
      <c r="F986" s="314"/>
      <c r="G986" s="314"/>
      <c r="I986" s="120"/>
      <c r="Q986" s="122"/>
      <c r="R986" s="122"/>
    </row>
    <row r="987" spans="6:18" ht="14.25" customHeight="1" x14ac:dyDescent="0.3">
      <c r="F987" s="314"/>
      <c r="G987" s="314"/>
      <c r="I987" s="120"/>
      <c r="Q987" s="122"/>
      <c r="R987" s="122"/>
    </row>
    <row r="988" spans="6:18" ht="14.25" customHeight="1" x14ac:dyDescent="0.3">
      <c r="F988" s="314"/>
      <c r="G988" s="314"/>
      <c r="I988" s="120"/>
      <c r="Q988" s="122"/>
      <c r="R988" s="122"/>
    </row>
    <row r="989" spans="6:18" ht="14.25" customHeight="1" x14ac:dyDescent="0.3">
      <c r="F989" s="314"/>
      <c r="G989" s="314"/>
      <c r="I989" s="120"/>
      <c r="Q989" s="122"/>
      <c r="R989" s="122"/>
    </row>
    <row r="990" spans="6:18" ht="14.25" customHeight="1" x14ac:dyDescent="0.3">
      <c r="F990" s="314"/>
      <c r="G990" s="314"/>
      <c r="I990" s="120"/>
      <c r="Q990" s="122"/>
      <c r="R990" s="122"/>
    </row>
    <row r="991" spans="6:18" ht="14.25" customHeight="1" x14ac:dyDescent="0.3">
      <c r="F991" s="314"/>
      <c r="G991" s="314"/>
      <c r="I991" s="120"/>
      <c r="Q991" s="122"/>
      <c r="R991" s="122"/>
    </row>
    <row r="992" spans="6:18" ht="14.25" customHeight="1" x14ac:dyDescent="0.3">
      <c r="F992" s="314"/>
      <c r="G992" s="314"/>
      <c r="I992" s="120"/>
      <c r="Q992" s="122"/>
      <c r="R992" s="122"/>
    </row>
    <row r="993" spans="6:18" ht="14.25" customHeight="1" x14ac:dyDescent="0.3">
      <c r="F993" s="314"/>
      <c r="G993" s="314"/>
      <c r="I993" s="120"/>
      <c r="Q993" s="122"/>
      <c r="R993" s="122"/>
    </row>
    <row r="994" spans="6:18" ht="14.25" customHeight="1" x14ac:dyDescent="0.3">
      <c r="F994" s="314"/>
      <c r="G994" s="314"/>
      <c r="I994" s="120"/>
      <c r="Q994" s="122"/>
      <c r="R994" s="122"/>
    </row>
    <row r="995" spans="6:18" ht="14.25" customHeight="1" x14ac:dyDescent="0.3">
      <c r="F995" s="314"/>
      <c r="G995" s="314"/>
      <c r="I995" s="120"/>
      <c r="Q995" s="122"/>
      <c r="R995" s="122"/>
    </row>
    <row r="996" spans="6:18" ht="14.25" customHeight="1" x14ac:dyDescent="0.3">
      <c r="F996" s="314"/>
      <c r="G996" s="314"/>
      <c r="I996" s="120"/>
      <c r="Q996" s="122"/>
      <c r="R996" s="122"/>
    </row>
    <row r="997" spans="6:18" ht="14.25" customHeight="1" x14ac:dyDescent="0.3">
      <c r="F997" s="314"/>
      <c r="G997" s="314"/>
      <c r="I997" s="120"/>
      <c r="Q997" s="122"/>
      <c r="R997" s="122"/>
    </row>
    <row r="998" spans="6:18" ht="14.25" customHeight="1" x14ac:dyDescent="0.3">
      <c r="F998" s="314"/>
      <c r="G998" s="314"/>
      <c r="I998" s="120"/>
      <c r="Q998" s="122"/>
      <c r="R998" s="122"/>
    </row>
    <row r="999" spans="6:18" ht="14.25" customHeight="1" x14ac:dyDescent="0.3">
      <c r="F999" s="314"/>
      <c r="G999" s="314"/>
      <c r="I999" s="120"/>
      <c r="Q999" s="122"/>
      <c r="R999" s="122"/>
    </row>
    <row r="1000" spans="6:18" ht="14.25" customHeight="1" x14ac:dyDescent="0.3">
      <c r="F1000" s="314"/>
      <c r="G1000" s="314"/>
      <c r="I1000" s="120"/>
      <c r="Q1000" s="122"/>
      <c r="R1000" s="122"/>
    </row>
    <row r="1001" spans="6:18" ht="14.25" customHeight="1" x14ac:dyDescent="0.3">
      <c r="F1001" s="314"/>
      <c r="G1001" s="314"/>
      <c r="I1001" s="120"/>
      <c r="Q1001" s="122"/>
      <c r="R1001" s="122"/>
    </row>
    <row r="1002" spans="6:18" ht="14.25" customHeight="1" x14ac:dyDescent="0.3">
      <c r="F1002" s="314"/>
      <c r="G1002" s="314"/>
      <c r="I1002" s="120"/>
      <c r="Q1002" s="122"/>
      <c r="R1002" s="122"/>
    </row>
    <row r="1003" spans="6:18" ht="14.25" customHeight="1" x14ac:dyDescent="0.3">
      <c r="F1003" s="314"/>
      <c r="G1003" s="314"/>
      <c r="I1003" s="120"/>
      <c r="Q1003" s="122"/>
      <c r="R1003" s="122"/>
    </row>
    <row r="1004" spans="6:18" ht="14.25" customHeight="1" x14ac:dyDescent="0.3">
      <c r="F1004" s="314"/>
      <c r="G1004" s="314"/>
      <c r="I1004" s="120"/>
      <c r="Q1004" s="122"/>
      <c r="R1004" s="122"/>
    </row>
    <row r="1005" spans="6:18" ht="14.25" customHeight="1" x14ac:dyDescent="0.3">
      <c r="F1005" s="314"/>
      <c r="G1005" s="314"/>
      <c r="I1005" s="120"/>
      <c r="Q1005" s="122"/>
      <c r="R1005" s="122"/>
    </row>
    <row r="1006" spans="6:18" ht="14.25" customHeight="1" x14ac:dyDescent="0.3">
      <c r="F1006" s="314"/>
      <c r="G1006" s="314"/>
      <c r="I1006" s="120"/>
      <c r="Q1006" s="122"/>
      <c r="R1006" s="122"/>
    </row>
    <row r="1007" spans="6:18" ht="14.25" customHeight="1" x14ac:dyDescent="0.3">
      <c r="F1007" s="314"/>
      <c r="G1007" s="314"/>
      <c r="I1007" s="120"/>
      <c r="Q1007" s="122"/>
      <c r="R1007" s="122"/>
    </row>
    <row r="1008" spans="6:18" ht="14.25" customHeight="1" x14ac:dyDescent="0.3">
      <c r="F1008" s="314"/>
      <c r="G1008" s="314"/>
      <c r="I1008" s="120"/>
      <c r="Q1008" s="122"/>
      <c r="R1008" s="122"/>
    </row>
    <row r="1009" spans="6:18" ht="14.25" customHeight="1" x14ac:dyDescent="0.3">
      <c r="F1009" s="314"/>
      <c r="G1009" s="314"/>
      <c r="I1009" s="120"/>
      <c r="Q1009" s="122"/>
      <c r="R1009" s="122"/>
    </row>
  </sheetData>
  <mergeCells count="14">
    <mergeCell ref="A90:C93"/>
    <mergeCell ref="A102:C118"/>
    <mergeCell ref="B1:L1"/>
    <mergeCell ref="A2:I3"/>
    <mergeCell ref="A4:B4"/>
    <mergeCell ref="D4:F4"/>
    <mergeCell ref="A6:A14"/>
    <mergeCell ref="A15:A19"/>
    <mergeCell ref="A20:A51"/>
    <mergeCell ref="P2:R2"/>
    <mergeCell ref="O52:R52"/>
    <mergeCell ref="A53:A64"/>
    <mergeCell ref="A66:A71"/>
    <mergeCell ref="A73:C89"/>
  </mergeCells>
  <pageMargins left="0.19685039370078741" right="0.15748031496062992" top="0.14583333333333334" bottom="0.15748031496062992" header="0" footer="0"/>
  <pageSetup paperSize="9" orientation="landscape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6">
    <pageSetUpPr fitToPage="1"/>
  </sheetPr>
  <dimension ref="A1:Q1000"/>
  <sheetViews>
    <sheetView workbookViewId="0">
      <pane ySplit="5" topLeftCell="A6" activePane="bottomLeft" state="frozen"/>
      <selection pane="bottomLeft" activeCell="I6" sqref="I6"/>
    </sheetView>
  </sheetViews>
  <sheetFormatPr defaultColWidth="14.44140625" defaultRowHeight="15" customHeight="1" outlineLevelCol="1" x14ac:dyDescent="0.3"/>
  <cols>
    <col min="1" max="1" width="8.6640625" customWidth="1"/>
    <col min="2" max="2" width="17.5546875" customWidth="1"/>
    <col min="3" max="3" width="19.44140625" customWidth="1"/>
    <col min="4" max="4" width="17.109375" customWidth="1"/>
    <col min="5" max="5" width="14" customWidth="1"/>
    <col min="6" max="6" width="13.44140625" customWidth="1"/>
    <col min="7" max="7" width="14.5546875" customWidth="1"/>
    <col min="8" max="8" width="15.109375" customWidth="1"/>
    <col min="9" max="9" width="21.44140625" customWidth="1" outlineLevel="1"/>
    <col min="10" max="10" width="19.44140625" customWidth="1" outlineLevel="1"/>
    <col min="11" max="11" width="15.5546875" customWidth="1" outlineLevel="1"/>
    <col min="12" max="12" width="19" customWidth="1" outlineLevel="1"/>
    <col min="13" max="13" width="19.88671875" customWidth="1" outlineLevel="1"/>
    <col min="14" max="14" width="18.5546875" customWidth="1"/>
    <col min="16" max="17" width="18" customWidth="1"/>
    <col min="18" max="26" width="8.6640625" customWidth="1"/>
  </cols>
  <sheetData>
    <row r="1" spans="1:17" ht="14.25" hidden="1" customHeight="1" x14ac:dyDescent="0.45">
      <c r="A1" s="697" t="s">
        <v>217</v>
      </c>
      <c r="B1" s="647"/>
      <c r="C1" s="647"/>
      <c r="D1" s="647"/>
      <c r="E1" s="647"/>
      <c r="F1" s="647"/>
      <c r="G1" s="647"/>
      <c r="H1" s="647"/>
      <c r="I1" s="647"/>
      <c r="J1" s="647"/>
      <c r="K1" s="647"/>
      <c r="L1" s="647"/>
      <c r="M1" s="647"/>
      <c r="N1" s="647"/>
      <c r="O1" s="647"/>
      <c r="P1" s="647"/>
      <c r="Q1" s="648"/>
    </row>
    <row r="2" spans="1:17" ht="15" hidden="1" customHeight="1" x14ac:dyDescent="0.3">
      <c r="B2" s="501"/>
      <c r="C2" s="501"/>
      <c r="D2" s="501"/>
      <c r="E2" s="314"/>
      <c r="F2" s="314"/>
      <c r="G2" s="314"/>
      <c r="H2" s="314"/>
      <c r="I2" s="502" t="s">
        <v>218</v>
      </c>
      <c r="J2" s="503"/>
      <c r="K2" s="504"/>
      <c r="L2" s="467"/>
      <c r="M2" s="314"/>
      <c r="N2" s="505" t="s">
        <v>219</v>
      </c>
      <c r="O2" s="698" t="s">
        <v>220</v>
      </c>
      <c r="P2" s="645"/>
      <c r="Q2" s="506"/>
    </row>
    <row r="3" spans="1:17" ht="48" customHeight="1" x14ac:dyDescent="0.3">
      <c r="A3" s="699" t="s">
        <v>221</v>
      </c>
      <c r="B3" s="600"/>
      <c r="C3" s="600"/>
      <c r="D3" s="600"/>
      <c r="E3" s="600"/>
      <c r="F3" s="600"/>
      <c r="G3" s="601"/>
      <c r="H3" s="507">
        <f>' COMP.MAXFIO'!J2</f>
        <v>45944</v>
      </c>
      <c r="I3" s="502"/>
      <c r="J3" s="508" t="s">
        <v>222</v>
      </c>
      <c r="K3" s="504"/>
      <c r="L3" s="467"/>
      <c r="M3" s="314"/>
      <c r="O3" s="509"/>
      <c r="P3" s="509"/>
      <c r="Q3" s="509"/>
    </row>
    <row r="4" spans="1:17" ht="14.25" customHeight="1" x14ac:dyDescent="0.3">
      <c r="A4" s="695" t="s">
        <v>154</v>
      </c>
      <c r="B4" s="692"/>
      <c r="C4" s="320" t="s">
        <v>155</v>
      </c>
      <c r="D4" s="695" t="s">
        <v>156</v>
      </c>
      <c r="E4" s="691"/>
      <c r="F4" s="692"/>
      <c r="G4" s="320"/>
      <c r="H4" s="510" t="s">
        <v>157</v>
      </c>
      <c r="I4" s="511" t="s">
        <v>158</v>
      </c>
      <c r="J4" s="512">
        <f>VIABILIDADE!P2</f>
        <v>25.96</v>
      </c>
      <c r="K4" s="508" t="s">
        <v>223</v>
      </c>
      <c r="L4" s="513" t="s">
        <v>160</v>
      </c>
      <c r="M4" s="513" t="s">
        <v>161</v>
      </c>
      <c r="N4" s="514" t="s">
        <v>162</v>
      </c>
      <c r="O4" s="515" t="s">
        <v>224</v>
      </c>
      <c r="P4" s="516" t="s">
        <v>225</v>
      </c>
      <c r="Q4" s="516" t="s">
        <v>226</v>
      </c>
    </row>
    <row r="5" spans="1:17" ht="14.25" customHeight="1" x14ac:dyDescent="0.3">
      <c r="A5" s="356" t="s">
        <v>166</v>
      </c>
      <c r="B5" s="331" t="s">
        <v>167</v>
      </c>
      <c r="C5" s="331" t="s">
        <v>168</v>
      </c>
      <c r="D5" s="331" t="s">
        <v>169</v>
      </c>
      <c r="E5" s="331" t="s">
        <v>170</v>
      </c>
      <c r="F5" s="332" t="s">
        <v>227</v>
      </c>
      <c r="G5" s="332" t="s">
        <v>172</v>
      </c>
      <c r="H5" s="332" t="s">
        <v>228</v>
      </c>
      <c r="I5" s="517">
        <v>69.5</v>
      </c>
      <c r="J5" s="512">
        <f>VIABILIDADE!N2</f>
        <v>8.9</v>
      </c>
      <c r="K5" s="518">
        <f>VIABILIDADE!P2</f>
        <v>25.96</v>
      </c>
      <c r="L5" s="519">
        <f>VIABILIDADE!Q2</f>
        <v>16.7</v>
      </c>
      <c r="M5" s="519">
        <f>VIABILIDADE!R2</f>
        <v>0.1</v>
      </c>
      <c r="N5" s="520"/>
      <c r="O5" s="452"/>
      <c r="P5" s="451"/>
      <c r="Q5" s="521">
        <v>0.12479999999999999</v>
      </c>
    </row>
    <row r="6" spans="1:17" ht="14.25" customHeight="1" x14ac:dyDescent="0.3">
      <c r="A6" s="664" t="s">
        <v>28</v>
      </c>
      <c r="B6" s="486">
        <v>1</v>
      </c>
      <c r="C6" s="486">
        <v>100</v>
      </c>
      <c r="D6" s="392">
        <v>0.44</v>
      </c>
      <c r="E6" s="522">
        <v>1</v>
      </c>
      <c r="F6" s="523"/>
      <c r="G6" s="368">
        <v>1.2999999999999999E-2</v>
      </c>
      <c r="H6" s="524">
        <f t="shared" ref="H6:H15" si="0">D6+E6+F6+G6</f>
        <v>1.4529999999999998</v>
      </c>
      <c r="I6" s="407">
        <f t="shared" ref="I6:I15" si="1">($I$5*D6)</f>
        <v>30.580000000000002</v>
      </c>
      <c r="J6" s="361">
        <f t="shared" ref="J6:J12" si="2">(($J$5*0.875)+($J$4*0.125))*E6</f>
        <v>11.032500000000001</v>
      </c>
      <c r="K6" s="369">
        <v>0</v>
      </c>
      <c r="L6" s="370">
        <f t="shared" ref="L6:L15" si="3">G6*$L$5</f>
        <v>0.21709999999999999</v>
      </c>
      <c r="M6" s="364">
        <f t="shared" ref="M6:M15" si="4">$M$5</f>
        <v>0.1</v>
      </c>
      <c r="N6" s="525">
        <f t="shared" ref="N6:N15" si="5">I6+J6+K6+L6+M6</f>
        <v>41.929600000000008</v>
      </c>
      <c r="O6" s="526">
        <v>0.21</v>
      </c>
      <c r="P6" s="527">
        <f t="shared" ref="P6:P15" si="6">N6/(1-O6)</f>
        <v>53.075443037974694</v>
      </c>
      <c r="Q6" s="527">
        <f t="shared" ref="Q6:Q15" si="7">P6+(P6*$Q$5)</f>
        <v>59.699258329113931</v>
      </c>
    </row>
    <row r="7" spans="1:17" ht="14.25" customHeight="1" x14ac:dyDescent="0.3">
      <c r="A7" s="656"/>
      <c r="B7" s="486">
        <v>1.5</v>
      </c>
      <c r="C7" s="486">
        <v>100</v>
      </c>
      <c r="D7" s="392">
        <v>0.66</v>
      </c>
      <c r="E7" s="392">
        <v>1.1200000000000001</v>
      </c>
      <c r="F7" s="523"/>
      <c r="G7" s="368">
        <v>1.2999999999999999E-2</v>
      </c>
      <c r="H7" s="524">
        <f t="shared" si="0"/>
        <v>1.7930000000000001</v>
      </c>
      <c r="I7" s="407">
        <f t="shared" si="1"/>
        <v>45.870000000000005</v>
      </c>
      <c r="J7" s="361">
        <f t="shared" si="2"/>
        <v>12.356400000000002</v>
      </c>
      <c r="K7" s="369">
        <v>0</v>
      </c>
      <c r="L7" s="370">
        <f t="shared" si="3"/>
        <v>0.21709999999999999</v>
      </c>
      <c r="M7" s="364">
        <f t="shared" si="4"/>
        <v>0.1</v>
      </c>
      <c r="N7" s="525">
        <f t="shared" si="5"/>
        <v>58.543500000000009</v>
      </c>
      <c r="O7" s="526">
        <v>0.2195</v>
      </c>
      <c r="P7" s="527">
        <f t="shared" si="6"/>
        <v>75.0076873798847</v>
      </c>
      <c r="Q7" s="451">
        <f t="shared" si="7"/>
        <v>84.368646764894308</v>
      </c>
    </row>
    <row r="8" spans="1:17" ht="14.25" customHeight="1" x14ac:dyDescent="0.3">
      <c r="A8" s="656"/>
      <c r="B8" s="356">
        <v>2.5</v>
      </c>
      <c r="C8" s="356">
        <v>100</v>
      </c>
      <c r="D8" s="392">
        <v>1.1000000000000001</v>
      </c>
      <c r="E8" s="392">
        <v>1.5</v>
      </c>
      <c r="F8" s="523"/>
      <c r="G8" s="368">
        <f>0.016</f>
        <v>1.6E-2</v>
      </c>
      <c r="H8" s="524">
        <f t="shared" si="0"/>
        <v>2.6160000000000001</v>
      </c>
      <c r="I8" s="347">
        <f t="shared" si="1"/>
        <v>76.45</v>
      </c>
      <c r="J8" s="361">
        <f t="shared" si="2"/>
        <v>16.548750000000002</v>
      </c>
      <c r="K8" s="369">
        <v>0</v>
      </c>
      <c r="L8" s="370">
        <f t="shared" si="3"/>
        <v>0.26719999999999999</v>
      </c>
      <c r="M8" s="364">
        <f t="shared" si="4"/>
        <v>0.1</v>
      </c>
      <c r="N8" s="525">
        <f t="shared" si="5"/>
        <v>93.365949999999998</v>
      </c>
      <c r="O8" s="528">
        <v>0.1915</v>
      </c>
      <c r="P8" s="451">
        <f t="shared" si="6"/>
        <v>115.48045763760049</v>
      </c>
      <c r="Q8" s="451">
        <f t="shared" si="7"/>
        <v>129.89241875077303</v>
      </c>
    </row>
    <row r="9" spans="1:17" ht="14.25" customHeight="1" x14ac:dyDescent="0.3">
      <c r="A9" s="656"/>
      <c r="B9" s="356">
        <v>4</v>
      </c>
      <c r="C9" s="356">
        <v>100</v>
      </c>
      <c r="D9" s="392">
        <v>1.76</v>
      </c>
      <c r="E9" s="392">
        <v>1.9</v>
      </c>
      <c r="F9" s="523"/>
      <c r="G9" s="368">
        <f>0.018</f>
        <v>1.7999999999999999E-2</v>
      </c>
      <c r="H9" s="524">
        <f t="shared" si="0"/>
        <v>3.6779999999999999</v>
      </c>
      <c r="I9" s="347">
        <f t="shared" si="1"/>
        <v>122.32000000000001</v>
      </c>
      <c r="J9" s="361">
        <f t="shared" si="2"/>
        <v>20.961749999999999</v>
      </c>
      <c r="K9" s="369">
        <v>0</v>
      </c>
      <c r="L9" s="370">
        <f t="shared" si="3"/>
        <v>0.30059999999999998</v>
      </c>
      <c r="M9" s="364">
        <f t="shared" si="4"/>
        <v>0.1</v>
      </c>
      <c r="N9" s="525">
        <f t="shared" si="5"/>
        <v>143.68235000000001</v>
      </c>
      <c r="O9" s="528">
        <v>0.21274999999999999</v>
      </c>
      <c r="P9" s="451">
        <f t="shared" si="6"/>
        <v>182.51171800571612</v>
      </c>
      <c r="Q9" s="451">
        <f t="shared" si="7"/>
        <v>205.2891804128295</v>
      </c>
    </row>
    <row r="10" spans="1:17" ht="14.25" customHeight="1" x14ac:dyDescent="0.3">
      <c r="A10" s="656"/>
      <c r="B10" s="356">
        <v>6</v>
      </c>
      <c r="C10" s="356">
        <v>100</v>
      </c>
      <c r="D10" s="392">
        <v>2.97</v>
      </c>
      <c r="E10" s="392">
        <v>2.35</v>
      </c>
      <c r="F10" s="523"/>
      <c r="G10" s="368">
        <v>1.9E-2</v>
      </c>
      <c r="H10" s="524">
        <f t="shared" si="0"/>
        <v>5.3390000000000004</v>
      </c>
      <c r="I10" s="347">
        <f t="shared" si="1"/>
        <v>206.41500000000002</v>
      </c>
      <c r="J10" s="361">
        <f t="shared" si="2"/>
        <v>25.926375000000004</v>
      </c>
      <c r="K10" s="369">
        <v>0</v>
      </c>
      <c r="L10" s="370">
        <f t="shared" si="3"/>
        <v>0.31729999999999997</v>
      </c>
      <c r="M10" s="364">
        <f t="shared" si="4"/>
        <v>0.1</v>
      </c>
      <c r="N10" s="525">
        <f t="shared" si="5"/>
        <v>232.75867500000001</v>
      </c>
      <c r="O10" s="528">
        <v>0.19475000000000001</v>
      </c>
      <c r="P10" s="451">
        <f t="shared" si="6"/>
        <v>289.05144365104007</v>
      </c>
      <c r="Q10" s="451">
        <f t="shared" si="7"/>
        <v>325.12506381868985</v>
      </c>
    </row>
    <row r="11" spans="1:17" ht="14.25" customHeight="1" x14ac:dyDescent="0.3">
      <c r="A11" s="598"/>
      <c r="B11" s="356">
        <v>10</v>
      </c>
      <c r="C11" s="356">
        <v>100</v>
      </c>
      <c r="D11" s="392">
        <v>4.62</v>
      </c>
      <c r="E11" s="392">
        <v>3.8</v>
      </c>
      <c r="F11" s="523"/>
      <c r="G11" s="368">
        <v>2.5000000000000001E-2</v>
      </c>
      <c r="H11" s="524">
        <f t="shared" si="0"/>
        <v>8.4450000000000003</v>
      </c>
      <c r="I11" s="347">
        <f t="shared" si="1"/>
        <v>321.09000000000003</v>
      </c>
      <c r="J11" s="361">
        <f t="shared" si="2"/>
        <v>41.923499999999997</v>
      </c>
      <c r="K11" s="369">
        <v>0</v>
      </c>
      <c r="L11" s="370">
        <f t="shared" si="3"/>
        <v>0.41749999999999998</v>
      </c>
      <c r="M11" s="364">
        <f t="shared" si="4"/>
        <v>0.1</v>
      </c>
      <c r="N11" s="525">
        <f t="shared" si="5"/>
        <v>363.53100000000006</v>
      </c>
      <c r="O11" s="528">
        <v>0.23435</v>
      </c>
      <c r="P11" s="451">
        <f t="shared" si="6"/>
        <v>474.80049631032466</v>
      </c>
      <c r="Q11" s="451">
        <f t="shared" si="7"/>
        <v>534.05559824985312</v>
      </c>
    </row>
    <row r="12" spans="1:17" ht="14.25" customHeight="1" x14ac:dyDescent="0.3">
      <c r="A12" s="529"/>
      <c r="B12" s="356">
        <v>16</v>
      </c>
      <c r="C12" s="356">
        <v>100</v>
      </c>
      <c r="D12" s="392">
        <v>7.74</v>
      </c>
      <c r="E12" s="530">
        <v>4.2670000000000003</v>
      </c>
      <c r="F12" s="523"/>
      <c r="G12" s="368">
        <v>2.5000000000000001E-2</v>
      </c>
      <c r="H12" s="524">
        <f t="shared" si="0"/>
        <v>12.032000000000002</v>
      </c>
      <c r="I12" s="347">
        <f t="shared" si="1"/>
        <v>537.93000000000006</v>
      </c>
      <c r="J12" s="361">
        <f t="shared" si="2"/>
        <v>47.075677500000005</v>
      </c>
      <c r="K12" s="369"/>
      <c r="L12" s="370">
        <f t="shared" si="3"/>
        <v>0.41749999999999998</v>
      </c>
      <c r="M12" s="364">
        <f t="shared" si="4"/>
        <v>0.1</v>
      </c>
      <c r="N12" s="525">
        <f t="shared" si="5"/>
        <v>585.52317750000009</v>
      </c>
      <c r="O12" s="528">
        <v>0.23435</v>
      </c>
      <c r="P12" s="451">
        <f t="shared" si="6"/>
        <v>764.73999542872082</v>
      </c>
      <c r="Q12" s="451">
        <f t="shared" si="7"/>
        <v>860.17954685822519</v>
      </c>
    </row>
    <row r="13" spans="1:17" ht="14.25" customHeight="1" x14ac:dyDescent="0.3">
      <c r="A13" s="664" t="s">
        <v>91</v>
      </c>
      <c r="B13" s="356" t="s">
        <v>32</v>
      </c>
      <c r="C13" s="356">
        <v>100</v>
      </c>
      <c r="D13" s="531">
        <v>1.32</v>
      </c>
      <c r="E13" s="392">
        <v>2.2000000000000002</v>
      </c>
      <c r="F13" s="532">
        <f t="shared" ref="F13:F15" si="8">E13*0.7936%</f>
        <v>1.7459200000000001E-2</v>
      </c>
      <c r="G13" s="533">
        <v>1.9E-2</v>
      </c>
      <c r="H13" s="524">
        <f t="shared" si="0"/>
        <v>3.5564592000000004</v>
      </c>
      <c r="I13" s="347">
        <f t="shared" si="1"/>
        <v>91.740000000000009</v>
      </c>
      <c r="J13" s="347">
        <f t="shared" ref="J13:J15" si="9">($J$5*E13)</f>
        <v>19.580000000000002</v>
      </c>
      <c r="K13" s="534">
        <f t="shared" ref="K13:K15" si="10">$K$5*F13</f>
        <v>0.45324083200000004</v>
      </c>
      <c r="L13" s="370">
        <f t="shared" si="3"/>
        <v>0.31729999999999997</v>
      </c>
      <c r="M13" s="364">
        <f t="shared" si="4"/>
        <v>0.1</v>
      </c>
      <c r="N13" s="525">
        <f t="shared" si="5"/>
        <v>112.19054083200001</v>
      </c>
      <c r="O13" s="454">
        <v>0.24</v>
      </c>
      <c r="P13" s="451">
        <f t="shared" si="6"/>
        <v>147.61913267368422</v>
      </c>
      <c r="Q13" s="451">
        <f t="shared" si="7"/>
        <v>166.04200043136001</v>
      </c>
    </row>
    <row r="14" spans="1:17" ht="14.25" customHeight="1" x14ac:dyDescent="0.3">
      <c r="A14" s="656"/>
      <c r="B14" s="356" t="s">
        <v>33</v>
      </c>
      <c r="C14" s="356">
        <v>100</v>
      </c>
      <c r="D14" s="392">
        <v>2.2000000000000002</v>
      </c>
      <c r="E14" s="392">
        <v>2.98</v>
      </c>
      <c r="F14" s="532">
        <f t="shared" si="8"/>
        <v>2.3649280000000002E-2</v>
      </c>
      <c r="G14" s="533">
        <v>2.1000000000000001E-2</v>
      </c>
      <c r="H14" s="524">
        <f t="shared" si="0"/>
        <v>5.2246492799999995</v>
      </c>
      <c r="I14" s="347">
        <f t="shared" si="1"/>
        <v>152.9</v>
      </c>
      <c r="J14" s="347">
        <f t="shared" si="9"/>
        <v>26.522000000000002</v>
      </c>
      <c r="K14" s="534">
        <f t="shared" si="10"/>
        <v>0.61393530880000002</v>
      </c>
      <c r="L14" s="370">
        <f t="shared" si="3"/>
        <v>0.35070000000000001</v>
      </c>
      <c r="M14" s="364">
        <f t="shared" si="4"/>
        <v>0.1</v>
      </c>
      <c r="N14" s="525">
        <f t="shared" si="5"/>
        <v>180.48663530879998</v>
      </c>
      <c r="O14" s="454">
        <v>0.24</v>
      </c>
      <c r="P14" s="451">
        <f t="shared" si="6"/>
        <v>237.48241487999996</v>
      </c>
      <c r="Q14" s="451">
        <f t="shared" si="7"/>
        <v>267.12022025702396</v>
      </c>
    </row>
    <row r="15" spans="1:17" ht="14.25" customHeight="1" x14ac:dyDescent="0.3">
      <c r="A15" s="598"/>
      <c r="B15" s="356" t="s">
        <v>34</v>
      </c>
      <c r="C15" s="356">
        <v>100</v>
      </c>
      <c r="D15" s="478">
        <v>3.52</v>
      </c>
      <c r="E15" s="478">
        <v>3.79</v>
      </c>
      <c r="F15" s="532">
        <f t="shared" si="8"/>
        <v>3.007744E-2</v>
      </c>
      <c r="G15" s="533">
        <v>2.3E-2</v>
      </c>
      <c r="H15" s="524">
        <f t="shared" si="0"/>
        <v>7.3630774400000005</v>
      </c>
      <c r="I15" s="347">
        <f t="shared" si="1"/>
        <v>244.64000000000001</v>
      </c>
      <c r="J15" s="347">
        <f t="shared" si="9"/>
        <v>33.731000000000002</v>
      </c>
      <c r="K15" s="534">
        <f t="shared" si="10"/>
        <v>0.78081034240000002</v>
      </c>
      <c r="L15" s="370">
        <f t="shared" si="3"/>
        <v>0.3841</v>
      </c>
      <c r="M15" s="364">
        <f t="shared" si="4"/>
        <v>0.1</v>
      </c>
      <c r="N15" s="525">
        <f t="shared" si="5"/>
        <v>279.63591034240005</v>
      </c>
      <c r="O15" s="454">
        <v>0.24</v>
      </c>
      <c r="P15" s="451">
        <f t="shared" si="6"/>
        <v>367.94198729263167</v>
      </c>
      <c r="Q15" s="451">
        <f t="shared" si="7"/>
        <v>413.86114730675212</v>
      </c>
    </row>
    <row r="16" spans="1:17" ht="14.25" customHeight="1" x14ac:dyDescent="0.3">
      <c r="C16" s="92"/>
      <c r="F16" s="314"/>
      <c r="G16" s="314"/>
      <c r="I16" s="120"/>
      <c r="P16" s="122"/>
      <c r="Q16" s="122"/>
    </row>
    <row r="17" spans="1:17" ht="14.25" customHeight="1" x14ac:dyDescent="0.3">
      <c r="F17" s="314"/>
      <c r="G17" s="314"/>
      <c r="I17" s="120"/>
      <c r="O17" s="409"/>
      <c r="P17" s="122"/>
      <c r="Q17" s="122"/>
    </row>
    <row r="18" spans="1:17" ht="14.25" customHeight="1" x14ac:dyDescent="0.3">
      <c r="A18" s="466" t="s">
        <v>205</v>
      </c>
      <c r="B18" s="491" t="s">
        <v>185</v>
      </c>
      <c r="C18" s="356" t="s">
        <v>206</v>
      </c>
      <c r="D18" s="492" t="s">
        <v>207</v>
      </c>
      <c r="E18" s="356" t="s">
        <v>208</v>
      </c>
      <c r="F18" s="356" t="s">
        <v>208</v>
      </c>
      <c r="G18" s="331" t="s">
        <v>209</v>
      </c>
      <c r="H18" s="331" t="s">
        <v>210</v>
      </c>
      <c r="I18" s="120"/>
      <c r="J18" s="314"/>
      <c r="O18" s="409"/>
      <c r="P18" s="122"/>
      <c r="Q18" s="122"/>
    </row>
    <row r="19" spans="1:17" ht="14.25" customHeight="1" x14ac:dyDescent="0.3">
      <c r="A19" s="466" t="s">
        <v>229</v>
      </c>
      <c r="B19" s="493" t="s">
        <v>230</v>
      </c>
      <c r="C19" s="494">
        <f>F19/F21</f>
        <v>0.88888888888888884</v>
      </c>
      <c r="D19" s="493">
        <v>8</v>
      </c>
      <c r="E19" s="134">
        <v>25</v>
      </c>
      <c r="F19" s="535">
        <f t="shared" ref="F19:F20" si="11">D19*E19</f>
        <v>200</v>
      </c>
      <c r="G19" s="536" t="s">
        <v>231</v>
      </c>
      <c r="H19" s="332" t="s">
        <v>232</v>
      </c>
      <c r="I19" s="120"/>
      <c r="J19" s="314"/>
      <c r="O19" s="409"/>
      <c r="P19" s="122"/>
      <c r="Q19" s="122"/>
    </row>
    <row r="20" spans="1:17" ht="14.25" customHeight="1" x14ac:dyDescent="0.3">
      <c r="A20" s="314"/>
      <c r="B20" s="493" t="s">
        <v>215</v>
      </c>
      <c r="C20" s="494">
        <f>F20/F21</f>
        <v>0.1111111111111111</v>
      </c>
      <c r="D20" s="493">
        <v>1</v>
      </c>
      <c r="E20" s="134">
        <v>25</v>
      </c>
      <c r="F20" s="535">
        <f t="shared" si="11"/>
        <v>25</v>
      </c>
      <c r="G20" s="537" t="s">
        <v>233</v>
      </c>
      <c r="H20" s="495" t="s">
        <v>234</v>
      </c>
      <c r="I20" s="120"/>
      <c r="J20" s="314"/>
      <c r="O20" s="409"/>
      <c r="P20" s="122"/>
      <c r="Q20" s="122"/>
    </row>
    <row r="21" spans="1:17" ht="14.25" customHeight="1" x14ac:dyDescent="0.3">
      <c r="D21" s="450">
        <v>1</v>
      </c>
      <c r="E21" s="314"/>
      <c r="F21" s="535">
        <f>F19+F20</f>
        <v>225</v>
      </c>
      <c r="G21" s="537" t="s">
        <v>235</v>
      </c>
      <c r="H21" s="495" t="s">
        <v>236</v>
      </c>
      <c r="I21" s="120"/>
      <c r="J21" s="314"/>
      <c r="O21" s="409"/>
      <c r="P21" s="122"/>
      <c r="Q21" s="122"/>
    </row>
    <row r="22" spans="1:17" ht="14.25" customHeight="1" x14ac:dyDescent="0.3">
      <c r="D22" s="538"/>
      <c r="E22" s="314"/>
      <c r="F22" s="1"/>
      <c r="G22" s="537" t="s">
        <v>237</v>
      </c>
      <c r="H22" s="495" t="s">
        <v>238</v>
      </c>
      <c r="I22" s="120"/>
      <c r="J22" s="314"/>
      <c r="O22" s="409"/>
      <c r="P22" s="122"/>
      <c r="Q22" s="122"/>
    </row>
    <row r="23" spans="1:17" ht="14.25" customHeight="1" x14ac:dyDescent="0.3">
      <c r="D23" s="538"/>
      <c r="E23" s="314"/>
      <c r="F23" s="1"/>
      <c r="G23" s="539" t="s">
        <v>239</v>
      </c>
      <c r="H23" s="499" t="s">
        <v>240</v>
      </c>
      <c r="I23" s="120"/>
      <c r="J23" s="314"/>
      <c r="O23" s="409"/>
      <c r="P23" s="122"/>
      <c r="Q23" s="122"/>
    </row>
    <row r="24" spans="1:17" ht="14.25" customHeight="1" x14ac:dyDescent="0.3">
      <c r="F24" s="314"/>
      <c r="G24" s="314"/>
      <c r="I24" s="170"/>
      <c r="J24" s="314"/>
      <c r="P24" s="122"/>
      <c r="Q24" s="122"/>
    </row>
    <row r="25" spans="1:17" ht="15" customHeight="1" x14ac:dyDescent="0.3">
      <c r="B25" s="688" t="s">
        <v>203</v>
      </c>
      <c r="C25" s="683"/>
      <c r="D25" s="331" t="s">
        <v>167</v>
      </c>
      <c r="E25" s="331" t="s">
        <v>204</v>
      </c>
      <c r="F25" s="482" t="s">
        <v>229</v>
      </c>
      <c r="G25" s="483" t="s">
        <v>215</v>
      </c>
      <c r="H25" s="1" t="s">
        <v>216</v>
      </c>
      <c r="I25" s="170"/>
      <c r="J25" s="314"/>
      <c r="P25" s="122"/>
      <c r="Q25" s="122"/>
    </row>
    <row r="26" spans="1:17" ht="15" customHeight="1" x14ac:dyDescent="0.3">
      <c r="B26" s="689"/>
      <c r="C26" s="685"/>
      <c r="D26" s="134"/>
      <c r="E26" s="332"/>
      <c r="F26" s="484">
        <f>C19</f>
        <v>0.88888888888888884</v>
      </c>
      <c r="G26" s="485">
        <f>C20</f>
        <v>0.1111111111111111</v>
      </c>
      <c r="I26" s="120"/>
      <c r="J26" s="314"/>
      <c r="P26" s="122"/>
      <c r="Q26" s="122"/>
    </row>
    <row r="27" spans="1:17" ht="15" customHeight="1" x14ac:dyDescent="0.3">
      <c r="B27" s="689"/>
      <c r="C27" s="685"/>
      <c r="D27" s="486">
        <v>1</v>
      </c>
      <c r="E27" s="487">
        <f t="shared" ref="E27:E33" si="12">E6</f>
        <v>1</v>
      </c>
      <c r="F27" s="488">
        <f t="shared" ref="F27:F33" si="13">E27*$F$26</f>
        <v>0.88888888888888884</v>
      </c>
      <c r="G27" s="489">
        <f t="shared" ref="G27:G33" si="14">E27*$G$26</f>
        <v>0.1111111111111111</v>
      </c>
      <c r="H27" s="119">
        <f t="shared" ref="H27:H33" si="15">F27+G27-E27</f>
        <v>0</v>
      </c>
      <c r="I27" s="120"/>
      <c r="J27" s="314"/>
      <c r="P27" s="122"/>
      <c r="Q27" s="122"/>
    </row>
    <row r="28" spans="1:17" ht="15" customHeight="1" x14ac:dyDescent="0.3">
      <c r="B28" s="689"/>
      <c r="C28" s="685"/>
      <c r="D28" s="486">
        <v>1.5</v>
      </c>
      <c r="E28" s="487">
        <f t="shared" si="12"/>
        <v>1.1200000000000001</v>
      </c>
      <c r="F28" s="488">
        <f t="shared" si="13"/>
        <v>0.99555555555555564</v>
      </c>
      <c r="G28" s="489">
        <f t="shared" si="14"/>
        <v>0.12444444444444445</v>
      </c>
      <c r="H28" s="119">
        <f t="shared" si="15"/>
        <v>0</v>
      </c>
      <c r="I28" s="120"/>
      <c r="J28" s="314"/>
      <c r="P28" s="122"/>
      <c r="Q28" s="122"/>
    </row>
    <row r="29" spans="1:17" ht="15" customHeight="1" x14ac:dyDescent="0.3">
      <c r="B29" s="689"/>
      <c r="C29" s="685"/>
      <c r="D29" s="356">
        <v>2.5</v>
      </c>
      <c r="E29" s="487">
        <f t="shared" si="12"/>
        <v>1.5</v>
      </c>
      <c r="F29" s="488">
        <f t="shared" si="13"/>
        <v>1.3333333333333333</v>
      </c>
      <c r="G29" s="489">
        <f t="shared" si="14"/>
        <v>0.16666666666666666</v>
      </c>
      <c r="H29" s="119">
        <f t="shared" si="15"/>
        <v>0</v>
      </c>
      <c r="I29" s="120"/>
      <c r="P29" s="122"/>
      <c r="Q29" s="122"/>
    </row>
    <row r="30" spans="1:17" ht="15" customHeight="1" x14ac:dyDescent="0.3">
      <c r="B30" s="689"/>
      <c r="C30" s="685"/>
      <c r="D30" s="356">
        <v>4</v>
      </c>
      <c r="E30" s="487">
        <f t="shared" si="12"/>
        <v>1.9</v>
      </c>
      <c r="F30" s="488">
        <f t="shared" si="13"/>
        <v>1.6888888888888887</v>
      </c>
      <c r="G30" s="489">
        <f t="shared" si="14"/>
        <v>0.21111111111111108</v>
      </c>
      <c r="H30" s="119">
        <f t="shared" si="15"/>
        <v>0</v>
      </c>
      <c r="I30" s="120"/>
      <c r="P30" s="122"/>
      <c r="Q30" s="122"/>
    </row>
    <row r="31" spans="1:17" ht="15" customHeight="1" x14ac:dyDescent="0.3">
      <c r="B31" s="689"/>
      <c r="C31" s="685"/>
      <c r="D31" s="356">
        <v>6</v>
      </c>
      <c r="E31" s="487">
        <f t="shared" si="12"/>
        <v>2.35</v>
      </c>
      <c r="F31" s="488">
        <f t="shared" si="13"/>
        <v>2.088888888888889</v>
      </c>
      <c r="G31" s="489">
        <f t="shared" si="14"/>
        <v>0.26111111111111113</v>
      </c>
      <c r="H31" s="119">
        <f t="shared" si="15"/>
        <v>0</v>
      </c>
      <c r="I31" s="120"/>
      <c r="P31" s="122"/>
      <c r="Q31" s="122"/>
    </row>
    <row r="32" spans="1:17" ht="15" customHeight="1" x14ac:dyDescent="0.3">
      <c r="B32" s="690"/>
      <c r="C32" s="692"/>
      <c r="D32" s="356">
        <v>10</v>
      </c>
      <c r="E32" s="487">
        <f t="shared" si="12"/>
        <v>3.8</v>
      </c>
      <c r="F32" s="488">
        <f t="shared" si="13"/>
        <v>3.3777777777777773</v>
      </c>
      <c r="G32" s="489">
        <f t="shared" si="14"/>
        <v>0.42222222222222217</v>
      </c>
      <c r="H32" s="119">
        <f t="shared" si="15"/>
        <v>0</v>
      </c>
      <c r="I32" s="170"/>
      <c r="P32" s="122"/>
      <c r="Q32" s="122"/>
    </row>
    <row r="33" spans="1:17" ht="15" customHeight="1" x14ac:dyDescent="0.3">
      <c r="B33" s="540"/>
      <c r="C33" s="540"/>
      <c r="D33" s="356">
        <v>16</v>
      </c>
      <c r="E33" s="487">
        <f t="shared" si="12"/>
        <v>4.2670000000000003</v>
      </c>
      <c r="F33" s="488">
        <f t="shared" si="13"/>
        <v>3.7928888888888892</v>
      </c>
      <c r="G33" s="489">
        <f t="shared" si="14"/>
        <v>0.47411111111111115</v>
      </c>
      <c r="H33" s="119">
        <f t="shared" si="15"/>
        <v>0</v>
      </c>
      <c r="I33" s="170"/>
      <c r="J33" s="1"/>
      <c r="P33" s="122"/>
      <c r="Q33" s="122"/>
    </row>
    <row r="34" spans="1:17" ht="14.25" customHeight="1" x14ac:dyDescent="0.3">
      <c r="F34" s="314"/>
      <c r="G34" s="314"/>
      <c r="I34" s="170"/>
      <c r="J34" s="1"/>
      <c r="P34" s="122"/>
      <c r="Q34" s="122"/>
    </row>
    <row r="35" spans="1:17" ht="9.75" customHeight="1" x14ac:dyDescent="0.3">
      <c r="A35" s="490"/>
      <c r="B35" s="490"/>
      <c r="C35" s="490"/>
      <c r="D35" s="490"/>
      <c r="E35" s="490"/>
      <c r="F35" s="490"/>
      <c r="G35" s="490"/>
      <c r="H35" s="490"/>
      <c r="I35" s="490"/>
      <c r="J35" s="541"/>
      <c r="K35" s="490"/>
      <c r="L35" s="490"/>
      <c r="M35" s="490"/>
      <c r="N35" s="490"/>
      <c r="P35" s="122"/>
      <c r="Q35" s="122"/>
    </row>
    <row r="36" spans="1:17" ht="14.25" customHeight="1" x14ac:dyDescent="0.3">
      <c r="F36" s="314"/>
      <c r="G36" s="314"/>
      <c r="I36" s="120"/>
      <c r="P36" s="122"/>
      <c r="Q36" s="122"/>
    </row>
    <row r="37" spans="1:17" ht="14.25" customHeight="1" x14ac:dyDescent="0.3">
      <c r="A37" s="466" t="s">
        <v>205</v>
      </c>
      <c r="B37" s="491" t="s">
        <v>185</v>
      </c>
      <c r="C37" s="356" t="s">
        <v>206</v>
      </c>
      <c r="D37" s="492" t="s">
        <v>207</v>
      </c>
      <c r="E37" s="356" t="s">
        <v>208</v>
      </c>
      <c r="F37" s="356" t="s">
        <v>208</v>
      </c>
      <c r="G37" s="356" t="s">
        <v>209</v>
      </c>
      <c r="H37" s="356" t="s">
        <v>210</v>
      </c>
      <c r="I37" s="120"/>
      <c r="P37" s="122"/>
      <c r="Q37" s="122"/>
    </row>
    <row r="38" spans="1:17" ht="14.25" customHeight="1" x14ac:dyDescent="0.3">
      <c r="A38" s="466" t="s">
        <v>229</v>
      </c>
      <c r="B38" s="493" t="s">
        <v>241</v>
      </c>
      <c r="C38" s="494">
        <f>F38/F40</f>
        <v>0.875</v>
      </c>
      <c r="D38" s="493">
        <v>7</v>
      </c>
      <c r="E38" s="134">
        <v>25</v>
      </c>
      <c r="F38" s="134">
        <f t="shared" ref="F38:F39" si="16">D38*E38</f>
        <v>175</v>
      </c>
      <c r="G38" s="332" t="s">
        <v>213</v>
      </c>
      <c r="H38" s="332" t="s">
        <v>214</v>
      </c>
      <c r="I38" s="120"/>
      <c r="P38" s="122"/>
      <c r="Q38" s="122"/>
    </row>
    <row r="39" spans="1:17" ht="14.25" customHeight="1" x14ac:dyDescent="0.3">
      <c r="A39" s="314"/>
      <c r="B39" s="493" t="s">
        <v>215</v>
      </c>
      <c r="C39" s="494">
        <f>F39/F40</f>
        <v>0.125</v>
      </c>
      <c r="D39" s="493">
        <v>1</v>
      </c>
      <c r="E39" s="134">
        <v>25</v>
      </c>
      <c r="F39" s="134">
        <f t="shared" si="16"/>
        <v>25</v>
      </c>
      <c r="G39" s="495"/>
      <c r="H39" s="495"/>
      <c r="I39" s="120"/>
      <c r="P39" s="122"/>
      <c r="Q39" s="122"/>
    </row>
    <row r="40" spans="1:17" ht="14.25" customHeight="1" x14ac:dyDescent="0.3">
      <c r="A40" s="314"/>
      <c r="B40" s="314"/>
      <c r="C40" s="496"/>
      <c r="D40" s="450">
        <v>1</v>
      </c>
      <c r="F40" s="134">
        <f>F38+F39</f>
        <v>200</v>
      </c>
      <c r="G40" s="498"/>
      <c r="H40" s="499"/>
      <c r="I40" s="120"/>
      <c r="P40" s="122"/>
      <c r="Q40" s="122"/>
    </row>
    <row r="41" spans="1:17" ht="14.25" customHeight="1" x14ac:dyDescent="0.3">
      <c r="F41" s="314"/>
      <c r="G41" s="314"/>
      <c r="I41" s="120"/>
      <c r="P41" s="122"/>
      <c r="Q41" s="122"/>
    </row>
    <row r="42" spans="1:17" ht="15" customHeight="1" x14ac:dyDescent="0.3">
      <c r="B42" s="688" t="s">
        <v>203</v>
      </c>
      <c r="C42" s="683"/>
      <c r="D42" s="331" t="s">
        <v>167</v>
      </c>
      <c r="E42" s="331" t="s">
        <v>204</v>
      </c>
      <c r="F42" s="482" t="s">
        <v>229</v>
      </c>
      <c r="G42" s="483" t="s">
        <v>215</v>
      </c>
      <c r="H42" s="1" t="s">
        <v>216</v>
      </c>
      <c r="I42" s="120"/>
      <c r="P42" s="122"/>
      <c r="Q42" s="122"/>
    </row>
    <row r="43" spans="1:17" ht="15" customHeight="1" x14ac:dyDescent="0.3">
      <c r="B43" s="689"/>
      <c r="C43" s="685"/>
      <c r="D43" s="134"/>
      <c r="E43" s="332"/>
      <c r="F43" s="484">
        <f>C38</f>
        <v>0.875</v>
      </c>
      <c r="G43" s="485">
        <f>C39</f>
        <v>0.125</v>
      </c>
      <c r="I43" s="120"/>
      <c r="P43" s="122"/>
      <c r="Q43" s="122"/>
    </row>
    <row r="44" spans="1:17" ht="15" customHeight="1" x14ac:dyDescent="0.3">
      <c r="B44" s="689"/>
      <c r="C44" s="685"/>
      <c r="D44" s="486">
        <v>1</v>
      </c>
      <c r="E44" s="487">
        <f t="shared" ref="E44:E49" si="17">E6</f>
        <v>1</v>
      </c>
      <c r="F44" s="500">
        <f t="shared" ref="F44:F49" si="18">E44*$F$43</f>
        <v>0.875</v>
      </c>
      <c r="G44" s="489">
        <f t="shared" ref="G44:G49" si="19">E44*$G$43</f>
        <v>0.125</v>
      </c>
      <c r="H44" s="119">
        <f t="shared" ref="H44:H49" si="20">F44+G44-E44</f>
        <v>0</v>
      </c>
      <c r="I44" s="120"/>
      <c r="P44" s="122"/>
      <c r="Q44" s="122"/>
    </row>
    <row r="45" spans="1:17" ht="15" customHeight="1" x14ac:dyDescent="0.3">
      <c r="B45" s="689"/>
      <c r="C45" s="685"/>
      <c r="D45" s="486">
        <v>1.5</v>
      </c>
      <c r="E45" s="487">
        <f t="shared" si="17"/>
        <v>1.1200000000000001</v>
      </c>
      <c r="F45" s="500">
        <f t="shared" si="18"/>
        <v>0.98000000000000009</v>
      </c>
      <c r="G45" s="489">
        <f t="shared" si="19"/>
        <v>0.14000000000000001</v>
      </c>
      <c r="H45" s="119">
        <f t="shared" si="20"/>
        <v>0</v>
      </c>
      <c r="I45" s="120"/>
      <c r="P45" s="122"/>
      <c r="Q45" s="122"/>
    </row>
    <row r="46" spans="1:17" ht="15" customHeight="1" x14ac:dyDescent="0.3">
      <c r="B46" s="689"/>
      <c r="C46" s="685"/>
      <c r="D46" s="356">
        <v>2.5</v>
      </c>
      <c r="E46" s="487">
        <f t="shared" si="17"/>
        <v>1.5</v>
      </c>
      <c r="F46" s="500">
        <f t="shared" si="18"/>
        <v>1.3125</v>
      </c>
      <c r="G46" s="489">
        <f t="shared" si="19"/>
        <v>0.1875</v>
      </c>
      <c r="H46" s="119">
        <f t="shared" si="20"/>
        <v>0</v>
      </c>
      <c r="I46" s="120"/>
      <c r="P46" s="122"/>
      <c r="Q46" s="122"/>
    </row>
    <row r="47" spans="1:17" ht="15" customHeight="1" x14ac:dyDescent="0.3">
      <c r="B47" s="689"/>
      <c r="C47" s="685"/>
      <c r="D47" s="356">
        <v>4</v>
      </c>
      <c r="E47" s="487">
        <f t="shared" si="17"/>
        <v>1.9</v>
      </c>
      <c r="F47" s="500">
        <f t="shared" si="18"/>
        <v>1.6624999999999999</v>
      </c>
      <c r="G47" s="489">
        <f t="shared" si="19"/>
        <v>0.23749999999999999</v>
      </c>
      <c r="H47" s="119">
        <f t="shared" si="20"/>
        <v>0</v>
      </c>
      <c r="I47" s="120"/>
      <c r="P47" s="122"/>
      <c r="Q47" s="122"/>
    </row>
    <row r="48" spans="1:17" ht="15" customHeight="1" x14ac:dyDescent="0.3">
      <c r="B48" s="689"/>
      <c r="C48" s="685"/>
      <c r="D48" s="356">
        <v>6</v>
      </c>
      <c r="E48" s="487">
        <f t="shared" si="17"/>
        <v>2.35</v>
      </c>
      <c r="F48" s="500">
        <f t="shared" si="18"/>
        <v>2.0562499999999999</v>
      </c>
      <c r="G48" s="489">
        <f t="shared" si="19"/>
        <v>0.29375000000000001</v>
      </c>
      <c r="H48" s="119">
        <f t="shared" si="20"/>
        <v>0</v>
      </c>
      <c r="I48" s="120"/>
      <c r="P48" s="122"/>
      <c r="Q48" s="122"/>
    </row>
    <row r="49" spans="1:17" ht="15" customHeight="1" x14ac:dyDescent="0.3">
      <c r="B49" s="690"/>
      <c r="C49" s="692"/>
      <c r="D49" s="356">
        <v>10</v>
      </c>
      <c r="E49" s="487">
        <f t="shared" si="17"/>
        <v>3.8</v>
      </c>
      <c r="F49" s="500">
        <f t="shared" si="18"/>
        <v>3.3249999999999997</v>
      </c>
      <c r="G49" s="489">
        <f t="shared" si="19"/>
        <v>0.47499999999999998</v>
      </c>
      <c r="H49" s="119">
        <f t="shared" si="20"/>
        <v>0</v>
      </c>
      <c r="I49" s="120"/>
      <c r="P49" s="122"/>
      <c r="Q49" s="122"/>
    </row>
    <row r="50" spans="1:17" ht="14.25" customHeight="1" x14ac:dyDescent="0.3">
      <c r="F50" s="314"/>
      <c r="G50" s="314"/>
      <c r="I50" s="120"/>
      <c r="P50" s="122"/>
      <c r="Q50" s="122"/>
    </row>
    <row r="51" spans="1:17" ht="15" customHeight="1" x14ac:dyDescent="0.3">
      <c r="A51" s="696" t="s">
        <v>242</v>
      </c>
      <c r="B51" s="682"/>
      <c r="C51" s="683"/>
      <c r="D51" s="331" t="s">
        <v>167</v>
      </c>
      <c r="E51" s="331" t="s">
        <v>204</v>
      </c>
      <c r="F51" s="482" t="s">
        <v>229</v>
      </c>
      <c r="G51" s="331" t="s">
        <v>243</v>
      </c>
      <c r="H51" s="1" t="s">
        <v>216</v>
      </c>
      <c r="I51" s="170"/>
      <c r="J51" s="1"/>
      <c r="P51" s="122"/>
      <c r="Q51" s="122"/>
    </row>
    <row r="52" spans="1:17" ht="15" customHeight="1" x14ac:dyDescent="0.3">
      <c r="A52" s="689"/>
      <c r="B52" s="610"/>
      <c r="C52" s="685"/>
      <c r="D52" s="134"/>
      <c r="E52" s="332"/>
      <c r="F52" s="484">
        <v>1</v>
      </c>
      <c r="G52" s="542">
        <v>7.9360000000000003E-3</v>
      </c>
      <c r="I52" s="120"/>
      <c r="P52" s="122"/>
      <c r="Q52" s="122"/>
    </row>
    <row r="53" spans="1:17" ht="15" customHeight="1" x14ac:dyDescent="0.3">
      <c r="A53" s="689"/>
      <c r="B53" s="610"/>
      <c r="C53" s="685"/>
      <c r="D53" s="491" t="s">
        <v>32</v>
      </c>
      <c r="E53" s="543">
        <f t="shared" ref="E53:E55" si="21">E13</f>
        <v>2.2000000000000002</v>
      </c>
      <c r="F53" s="544">
        <f t="shared" ref="F53:F55" si="22">E53*$F$52</f>
        <v>2.2000000000000002</v>
      </c>
      <c r="G53" s="545">
        <f t="shared" ref="G53:G55" si="23">E53*$G$52</f>
        <v>1.7459200000000001E-2</v>
      </c>
      <c r="H53" s="119">
        <f t="shared" ref="H53:H55" si="24">F53+G53-E13-F13</f>
        <v>-2.1510571102112408E-16</v>
      </c>
      <c r="I53" s="120"/>
      <c r="P53" s="122"/>
      <c r="Q53" s="122"/>
    </row>
    <row r="54" spans="1:17" ht="15" customHeight="1" x14ac:dyDescent="0.3">
      <c r="A54" s="689"/>
      <c r="B54" s="610"/>
      <c r="C54" s="685"/>
      <c r="D54" s="491" t="s">
        <v>33</v>
      </c>
      <c r="E54" s="543">
        <f t="shared" si="21"/>
        <v>2.98</v>
      </c>
      <c r="F54" s="544">
        <f t="shared" si="22"/>
        <v>2.98</v>
      </c>
      <c r="G54" s="545">
        <f t="shared" si="23"/>
        <v>2.3649280000000002E-2</v>
      </c>
      <c r="H54" s="119">
        <f t="shared" si="24"/>
        <v>-1.1796119636642288E-16</v>
      </c>
      <c r="I54" s="120"/>
      <c r="P54" s="122"/>
      <c r="Q54" s="122"/>
    </row>
    <row r="55" spans="1:17" ht="15" customHeight="1" x14ac:dyDescent="0.3">
      <c r="A55" s="690"/>
      <c r="B55" s="691"/>
      <c r="C55" s="692"/>
      <c r="D55" s="491" t="s">
        <v>34</v>
      </c>
      <c r="E55" s="543">
        <f t="shared" si="21"/>
        <v>3.79</v>
      </c>
      <c r="F55" s="544">
        <f t="shared" si="22"/>
        <v>3.79</v>
      </c>
      <c r="G55" s="545">
        <f t="shared" si="23"/>
        <v>3.007744E-2</v>
      </c>
      <c r="H55" s="119">
        <f t="shared" si="24"/>
        <v>-1.0061396160665481E-16</v>
      </c>
      <c r="I55" s="120"/>
      <c r="P55" s="122"/>
      <c r="Q55" s="122"/>
    </row>
    <row r="56" spans="1:17" ht="14.25" customHeight="1" x14ac:dyDescent="0.3">
      <c r="F56" s="314"/>
      <c r="G56" s="314"/>
      <c r="I56" s="120"/>
      <c r="P56" s="122"/>
      <c r="Q56" s="122"/>
    </row>
    <row r="57" spans="1:17" ht="14.25" customHeight="1" x14ac:dyDescent="0.3">
      <c r="F57" s="314"/>
      <c r="G57" s="314"/>
      <c r="I57" s="120"/>
      <c r="P57" s="122"/>
      <c r="Q57" s="122"/>
    </row>
    <row r="58" spans="1:17" ht="14.25" customHeight="1" x14ac:dyDescent="0.3">
      <c r="F58" s="314"/>
      <c r="G58" s="314"/>
      <c r="I58" s="120"/>
      <c r="P58" s="122"/>
      <c r="Q58" s="122"/>
    </row>
    <row r="59" spans="1:17" ht="14.25" customHeight="1" x14ac:dyDescent="0.3">
      <c r="F59" s="314"/>
      <c r="G59" s="314"/>
      <c r="I59" s="120"/>
      <c r="P59" s="122"/>
      <c r="Q59" s="122"/>
    </row>
    <row r="60" spans="1:17" ht="14.25" customHeight="1" x14ac:dyDescent="0.3">
      <c r="F60" s="314"/>
      <c r="G60" s="314"/>
      <c r="I60" s="120"/>
      <c r="P60" s="122"/>
      <c r="Q60" s="122"/>
    </row>
    <row r="61" spans="1:17" ht="14.25" customHeight="1" x14ac:dyDescent="0.3">
      <c r="F61" s="314"/>
      <c r="G61" s="314"/>
      <c r="I61" s="120"/>
      <c r="P61" s="122"/>
      <c r="Q61" s="122"/>
    </row>
    <row r="62" spans="1:17" ht="14.25" customHeight="1" x14ac:dyDescent="0.3">
      <c r="F62" s="314"/>
      <c r="G62" s="314"/>
      <c r="I62" s="120"/>
      <c r="P62" s="122"/>
      <c r="Q62" s="122"/>
    </row>
    <row r="63" spans="1:17" ht="14.25" customHeight="1" x14ac:dyDescent="0.3">
      <c r="F63" s="314"/>
      <c r="G63" s="314"/>
      <c r="I63" s="120"/>
      <c r="P63" s="122"/>
      <c r="Q63" s="122"/>
    </row>
    <row r="64" spans="1:17" ht="14.25" customHeight="1" x14ac:dyDescent="0.3">
      <c r="F64" s="314"/>
      <c r="G64" s="314"/>
      <c r="I64" s="120"/>
      <c r="P64" s="122"/>
      <c r="Q64" s="122"/>
    </row>
    <row r="65" spans="6:17" ht="14.25" customHeight="1" x14ac:dyDescent="0.3">
      <c r="F65" s="314"/>
      <c r="G65" s="314"/>
      <c r="I65" s="120"/>
      <c r="P65" s="122"/>
      <c r="Q65" s="122"/>
    </row>
    <row r="66" spans="6:17" ht="14.25" customHeight="1" x14ac:dyDescent="0.3">
      <c r="F66" s="314"/>
      <c r="G66" s="314"/>
      <c r="I66" s="120"/>
      <c r="P66" s="122"/>
      <c r="Q66" s="122"/>
    </row>
    <row r="67" spans="6:17" ht="14.25" customHeight="1" x14ac:dyDescent="0.3">
      <c r="F67" s="314"/>
      <c r="G67" s="314"/>
      <c r="I67" s="120"/>
      <c r="P67" s="122"/>
      <c r="Q67" s="122"/>
    </row>
    <row r="68" spans="6:17" ht="14.25" customHeight="1" x14ac:dyDescent="0.3">
      <c r="F68" s="314"/>
      <c r="G68" s="314"/>
      <c r="I68" s="120"/>
      <c r="P68" s="122"/>
      <c r="Q68" s="122"/>
    </row>
    <row r="69" spans="6:17" ht="14.25" customHeight="1" x14ac:dyDescent="0.3">
      <c r="F69" s="314"/>
      <c r="G69" s="314"/>
      <c r="I69" s="120"/>
      <c r="P69" s="122"/>
      <c r="Q69" s="122"/>
    </row>
    <row r="70" spans="6:17" ht="14.25" customHeight="1" x14ac:dyDescent="0.3">
      <c r="F70" s="314"/>
      <c r="G70" s="314"/>
      <c r="I70" s="120"/>
      <c r="P70" s="122"/>
      <c r="Q70" s="122"/>
    </row>
    <row r="71" spans="6:17" ht="14.25" customHeight="1" x14ac:dyDescent="0.3">
      <c r="F71" s="314"/>
      <c r="G71" s="314"/>
      <c r="I71" s="120"/>
      <c r="P71" s="122"/>
      <c r="Q71" s="122"/>
    </row>
    <row r="72" spans="6:17" ht="14.25" customHeight="1" x14ac:dyDescent="0.3">
      <c r="F72" s="314"/>
      <c r="G72" s="314"/>
      <c r="I72" s="120"/>
      <c r="P72" s="122"/>
      <c r="Q72" s="122"/>
    </row>
    <row r="73" spans="6:17" ht="14.25" customHeight="1" x14ac:dyDescent="0.3">
      <c r="F73" s="314"/>
      <c r="G73" s="314"/>
      <c r="I73" s="120"/>
      <c r="P73" s="122"/>
      <c r="Q73" s="122"/>
    </row>
    <row r="74" spans="6:17" ht="14.25" customHeight="1" x14ac:dyDescent="0.3">
      <c r="F74" s="314"/>
      <c r="G74" s="314"/>
      <c r="I74" s="120"/>
      <c r="P74" s="122"/>
      <c r="Q74" s="122"/>
    </row>
    <row r="75" spans="6:17" ht="14.25" customHeight="1" x14ac:dyDescent="0.3">
      <c r="F75" s="314"/>
      <c r="G75" s="314"/>
      <c r="I75" s="120"/>
      <c r="P75" s="122"/>
      <c r="Q75" s="122"/>
    </row>
    <row r="76" spans="6:17" ht="14.25" customHeight="1" x14ac:dyDescent="0.3">
      <c r="F76" s="314"/>
      <c r="G76" s="314"/>
      <c r="I76" s="120"/>
      <c r="P76" s="122"/>
      <c r="Q76" s="122"/>
    </row>
    <row r="77" spans="6:17" ht="14.25" customHeight="1" x14ac:dyDescent="0.3">
      <c r="F77" s="314"/>
      <c r="G77" s="314"/>
      <c r="I77" s="120"/>
      <c r="P77" s="122"/>
      <c r="Q77" s="122"/>
    </row>
    <row r="78" spans="6:17" ht="14.25" customHeight="1" x14ac:dyDescent="0.3">
      <c r="F78" s="314"/>
      <c r="G78" s="314"/>
      <c r="I78" s="120"/>
      <c r="P78" s="122"/>
      <c r="Q78" s="122"/>
    </row>
    <row r="79" spans="6:17" ht="14.25" customHeight="1" x14ac:dyDescent="0.3">
      <c r="F79" s="314"/>
      <c r="G79" s="314"/>
      <c r="I79" s="120"/>
      <c r="P79" s="122"/>
      <c r="Q79" s="122"/>
    </row>
    <row r="80" spans="6:17" ht="14.25" customHeight="1" x14ac:dyDescent="0.3">
      <c r="F80" s="314"/>
      <c r="G80" s="314"/>
      <c r="I80" s="120"/>
      <c r="P80" s="122"/>
      <c r="Q80" s="122"/>
    </row>
    <row r="81" spans="6:17" ht="14.25" customHeight="1" x14ac:dyDescent="0.3">
      <c r="F81" s="314"/>
      <c r="G81" s="314"/>
      <c r="I81" s="120"/>
      <c r="P81" s="122"/>
      <c r="Q81" s="122"/>
    </row>
    <row r="82" spans="6:17" ht="14.25" customHeight="1" x14ac:dyDescent="0.3">
      <c r="F82" s="314"/>
      <c r="G82" s="314"/>
      <c r="I82" s="120"/>
      <c r="P82" s="122"/>
      <c r="Q82" s="122"/>
    </row>
    <row r="83" spans="6:17" ht="14.25" customHeight="1" x14ac:dyDescent="0.3">
      <c r="F83" s="314"/>
      <c r="G83" s="314"/>
      <c r="I83" s="120"/>
      <c r="P83" s="122"/>
      <c r="Q83" s="122"/>
    </row>
    <row r="84" spans="6:17" ht="14.25" customHeight="1" x14ac:dyDescent="0.3">
      <c r="F84" s="314"/>
      <c r="G84" s="314"/>
      <c r="I84" s="120"/>
      <c r="P84" s="122"/>
      <c r="Q84" s="122"/>
    </row>
    <row r="85" spans="6:17" ht="14.25" customHeight="1" x14ac:dyDescent="0.3">
      <c r="F85" s="314"/>
      <c r="G85" s="314"/>
      <c r="I85" s="120"/>
      <c r="P85" s="122"/>
      <c r="Q85" s="122"/>
    </row>
    <row r="86" spans="6:17" ht="14.25" customHeight="1" x14ac:dyDescent="0.3">
      <c r="F86" s="314"/>
      <c r="G86" s="314"/>
      <c r="I86" s="120"/>
      <c r="P86" s="122"/>
      <c r="Q86" s="122"/>
    </row>
    <row r="87" spans="6:17" ht="14.25" customHeight="1" x14ac:dyDescent="0.3">
      <c r="F87" s="314"/>
      <c r="G87" s="314"/>
      <c r="I87" s="120"/>
      <c r="P87" s="122"/>
      <c r="Q87" s="122"/>
    </row>
    <row r="88" spans="6:17" ht="14.25" customHeight="1" x14ac:dyDescent="0.3">
      <c r="F88" s="314"/>
      <c r="G88" s="314"/>
      <c r="I88" s="120"/>
      <c r="P88" s="122"/>
      <c r="Q88" s="122"/>
    </row>
    <row r="89" spans="6:17" ht="14.25" customHeight="1" x14ac:dyDescent="0.3">
      <c r="F89" s="314"/>
      <c r="G89" s="314"/>
      <c r="I89" s="120"/>
      <c r="P89" s="122"/>
      <c r="Q89" s="122"/>
    </row>
    <row r="90" spans="6:17" ht="14.25" customHeight="1" x14ac:dyDescent="0.3">
      <c r="F90" s="314"/>
      <c r="G90" s="314"/>
      <c r="I90" s="120"/>
      <c r="P90" s="122"/>
      <c r="Q90" s="122"/>
    </row>
    <row r="91" spans="6:17" ht="14.25" customHeight="1" x14ac:dyDescent="0.3">
      <c r="F91" s="314"/>
      <c r="G91" s="314"/>
      <c r="I91" s="120"/>
      <c r="P91" s="122"/>
      <c r="Q91" s="122"/>
    </row>
    <row r="92" spans="6:17" ht="14.25" customHeight="1" x14ac:dyDescent="0.3">
      <c r="F92" s="314"/>
      <c r="G92" s="314"/>
      <c r="I92" s="120"/>
      <c r="P92" s="122"/>
      <c r="Q92" s="122"/>
    </row>
    <row r="93" spans="6:17" ht="14.25" customHeight="1" x14ac:dyDescent="0.3">
      <c r="F93" s="314"/>
      <c r="G93" s="314"/>
      <c r="I93" s="120"/>
      <c r="P93" s="122"/>
      <c r="Q93" s="122"/>
    </row>
    <row r="94" spans="6:17" ht="14.25" customHeight="1" x14ac:dyDescent="0.3">
      <c r="F94" s="314"/>
      <c r="G94" s="314"/>
      <c r="I94" s="120"/>
      <c r="P94" s="122"/>
      <c r="Q94" s="122"/>
    </row>
    <row r="95" spans="6:17" ht="14.25" customHeight="1" x14ac:dyDescent="0.3">
      <c r="F95" s="314"/>
      <c r="G95" s="314"/>
      <c r="I95" s="120"/>
      <c r="P95" s="122"/>
      <c r="Q95" s="122"/>
    </row>
    <row r="96" spans="6:17" ht="14.25" customHeight="1" x14ac:dyDescent="0.3">
      <c r="F96" s="314"/>
      <c r="G96" s="314"/>
      <c r="I96" s="120"/>
      <c r="P96" s="122"/>
      <c r="Q96" s="122"/>
    </row>
    <row r="97" spans="6:17" ht="14.25" customHeight="1" x14ac:dyDescent="0.3">
      <c r="F97" s="314"/>
      <c r="G97" s="314"/>
      <c r="I97" s="120"/>
      <c r="P97" s="122"/>
      <c r="Q97" s="122"/>
    </row>
    <row r="98" spans="6:17" ht="14.25" customHeight="1" x14ac:dyDescent="0.3">
      <c r="F98" s="314"/>
      <c r="G98" s="314"/>
      <c r="I98" s="120"/>
      <c r="P98" s="122"/>
      <c r="Q98" s="122"/>
    </row>
    <row r="99" spans="6:17" ht="14.25" customHeight="1" x14ac:dyDescent="0.3">
      <c r="F99" s="314"/>
      <c r="G99" s="314"/>
      <c r="I99" s="120"/>
      <c r="P99" s="122"/>
      <c r="Q99" s="122"/>
    </row>
    <row r="100" spans="6:17" ht="14.25" customHeight="1" x14ac:dyDescent="0.3">
      <c r="F100" s="314"/>
      <c r="G100" s="314"/>
      <c r="I100" s="120"/>
      <c r="P100" s="122"/>
      <c r="Q100" s="122"/>
    </row>
    <row r="101" spans="6:17" ht="14.25" customHeight="1" x14ac:dyDescent="0.3">
      <c r="F101" s="314"/>
      <c r="G101" s="314"/>
      <c r="I101" s="120"/>
      <c r="P101" s="122"/>
      <c r="Q101" s="122"/>
    </row>
    <row r="102" spans="6:17" ht="14.25" customHeight="1" x14ac:dyDescent="0.3">
      <c r="F102" s="314"/>
      <c r="G102" s="314"/>
      <c r="I102" s="120"/>
      <c r="P102" s="122"/>
      <c r="Q102" s="122"/>
    </row>
    <row r="103" spans="6:17" ht="14.25" customHeight="1" x14ac:dyDescent="0.3">
      <c r="F103" s="314"/>
      <c r="G103" s="314"/>
      <c r="I103" s="120"/>
      <c r="P103" s="122"/>
      <c r="Q103" s="122"/>
    </row>
    <row r="104" spans="6:17" ht="14.25" customHeight="1" x14ac:dyDescent="0.3">
      <c r="F104" s="314"/>
      <c r="G104" s="314"/>
      <c r="I104" s="120"/>
      <c r="P104" s="122"/>
      <c r="Q104" s="122"/>
    </row>
    <row r="105" spans="6:17" ht="14.25" customHeight="1" x14ac:dyDescent="0.3">
      <c r="F105" s="314"/>
      <c r="G105" s="314"/>
      <c r="I105" s="120"/>
      <c r="P105" s="122"/>
      <c r="Q105" s="122"/>
    </row>
    <row r="106" spans="6:17" ht="14.25" customHeight="1" x14ac:dyDescent="0.3">
      <c r="F106" s="314"/>
      <c r="G106" s="314"/>
      <c r="I106" s="120"/>
      <c r="P106" s="122"/>
      <c r="Q106" s="122"/>
    </row>
    <row r="107" spans="6:17" ht="14.25" customHeight="1" x14ac:dyDescent="0.3">
      <c r="F107" s="314"/>
      <c r="G107" s="314"/>
      <c r="I107" s="120"/>
      <c r="P107" s="122"/>
      <c r="Q107" s="122"/>
    </row>
    <row r="108" spans="6:17" ht="14.25" customHeight="1" x14ac:dyDescent="0.3">
      <c r="F108" s="314"/>
      <c r="G108" s="314"/>
      <c r="I108" s="120"/>
      <c r="P108" s="122"/>
      <c r="Q108" s="122"/>
    </row>
    <row r="109" spans="6:17" ht="14.25" customHeight="1" x14ac:dyDescent="0.3">
      <c r="F109" s="314"/>
      <c r="G109" s="314"/>
      <c r="I109" s="120"/>
      <c r="P109" s="122"/>
      <c r="Q109" s="122"/>
    </row>
    <row r="110" spans="6:17" ht="14.25" customHeight="1" x14ac:dyDescent="0.3">
      <c r="F110" s="314"/>
      <c r="G110" s="314"/>
      <c r="I110" s="120"/>
      <c r="P110" s="122"/>
      <c r="Q110" s="122"/>
    </row>
    <row r="111" spans="6:17" ht="14.25" customHeight="1" x14ac:dyDescent="0.3">
      <c r="F111" s="314"/>
      <c r="G111" s="314"/>
      <c r="I111" s="120"/>
      <c r="P111" s="122"/>
      <c r="Q111" s="122"/>
    </row>
    <row r="112" spans="6:17" ht="14.25" customHeight="1" x14ac:dyDescent="0.3">
      <c r="F112" s="314"/>
      <c r="G112" s="314"/>
      <c r="I112" s="120"/>
      <c r="P112" s="122"/>
      <c r="Q112" s="122"/>
    </row>
    <row r="113" spans="6:17" ht="14.25" customHeight="1" x14ac:dyDescent="0.3">
      <c r="F113" s="314"/>
      <c r="G113" s="314"/>
      <c r="I113" s="120"/>
      <c r="P113" s="122"/>
      <c r="Q113" s="122"/>
    </row>
    <row r="114" spans="6:17" ht="14.25" customHeight="1" x14ac:dyDescent="0.3">
      <c r="F114" s="314"/>
      <c r="G114" s="314"/>
      <c r="I114" s="120"/>
      <c r="P114" s="122"/>
      <c r="Q114" s="122"/>
    </row>
    <row r="115" spans="6:17" ht="14.25" customHeight="1" x14ac:dyDescent="0.3">
      <c r="F115" s="314"/>
      <c r="G115" s="314"/>
      <c r="I115" s="120"/>
      <c r="P115" s="122"/>
      <c r="Q115" s="122"/>
    </row>
    <row r="116" spans="6:17" ht="14.25" customHeight="1" x14ac:dyDescent="0.3">
      <c r="F116" s="314"/>
      <c r="G116" s="314"/>
      <c r="I116" s="120"/>
      <c r="P116" s="122"/>
      <c r="Q116" s="122"/>
    </row>
    <row r="117" spans="6:17" ht="14.25" customHeight="1" x14ac:dyDescent="0.3">
      <c r="F117" s="314"/>
      <c r="G117" s="314"/>
      <c r="I117" s="120"/>
      <c r="P117" s="122"/>
      <c r="Q117" s="122"/>
    </row>
    <row r="118" spans="6:17" ht="14.25" customHeight="1" x14ac:dyDescent="0.3">
      <c r="F118" s="314"/>
      <c r="G118" s="314"/>
      <c r="I118" s="120"/>
      <c r="P118" s="122"/>
      <c r="Q118" s="122"/>
    </row>
    <row r="119" spans="6:17" ht="14.25" customHeight="1" x14ac:dyDescent="0.3">
      <c r="F119" s="314"/>
      <c r="G119" s="314"/>
      <c r="I119" s="120"/>
      <c r="P119" s="122"/>
      <c r="Q119" s="122"/>
    </row>
    <row r="120" spans="6:17" ht="14.25" customHeight="1" x14ac:dyDescent="0.3">
      <c r="F120" s="314"/>
      <c r="G120" s="314"/>
      <c r="I120" s="120"/>
      <c r="P120" s="122"/>
      <c r="Q120" s="122"/>
    </row>
    <row r="121" spans="6:17" ht="14.25" customHeight="1" x14ac:dyDescent="0.3">
      <c r="F121" s="314"/>
      <c r="G121" s="314"/>
      <c r="I121" s="120"/>
      <c r="P121" s="122"/>
      <c r="Q121" s="122"/>
    </row>
    <row r="122" spans="6:17" ht="14.25" customHeight="1" x14ac:dyDescent="0.3">
      <c r="F122" s="314"/>
      <c r="G122" s="314"/>
      <c r="I122" s="120"/>
      <c r="P122" s="122"/>
      <c r="Q122" s="122"/>
    </row>
    <row r="123" spans="6:17" ht="14.25" customHeight="1" x14ac:dyDescent="0.3">
      <c r="F123" s="314"/>
      <c r="G123" s="314"/>
      <c r="I123" s="120"/>
      <c r="P123" s="122"/>
      <c r="Q123" s="122"/>
    </row>
    <row r="124" spans="6:17" ht="14.25" customHeight="1" x14ac:dyDescent="0.3">
      <c r="F124" s="314"/>
      <c r="G124" s="314"/>
      <c r="I124" s="120"/>
      <c r="P124" s="122"/>
      <c r="Q124" s="122"/>
    </row>
    <row r="125" spans="6:17" ht="14.25" customHeight="1" x14ac:dyDescent="0.3">
      <c r="F125" s="314"/>
      <c r="G125" s="314"/>
      <c r="I125" s="120"/>
      <c r="P125" s="122"/>
      <c r="Q125" s="122"/>
    </row>
    <row r="126" spans="6:17" ht="14.25" customHeight="1" x14ac:dyDescent="0.3">
      <c r="F126" s="314"/>
      <c r="G126" s="314"/>
      <c r="I126" s="120"/>
      <c r="P126" s="122"/>
      <c r="Q126" s="122"/>
    </row>
    <row r="127" spans="6:17" ht="14.25" customHeight="1" x14ac:dyDescent="0.3">
      <c r="F127" s="314"/>
      <c r="G127" s="314"/>
      <c r="I127" s="120"/>
      <c r="P127" s="122"/>
      <c r="Q127" s="122"/>
    </row>
    <row r="128" spans="6:17" ht="14.25" customHeight="1" x14ac:dyDescent="0.3">
      <c r="F128" s="314"/>
      <c r="G128" s="314"/>
      <c r="I128" s="120"/>
      <c r="P128" s="122"/>
      <c r="Q128" s="122"/>
    </row>
    <row r="129" spans="6:17" ht="14.25" customHeight="1" x14ac:dyDescent="0.3">
      <c r="F129" s="314"/>
      <c r="G129" s="314"/>
      <c r="I129" s="120"/>
      <c r="P129" s="122"/>
      <c r="Q129" s="122"/>
    </row>
    <row r="130" spans="6:17" ht="14.25" customHeight="1" x14ac:dyDescent="0.3">
      <c r="F130" s="314"/>
      <c r="G130" s="314"/>
      <c r="I130" s="120"/>
      <c r="P130" s="122"/>
      <c r="Q130" s="122"/>
    </row>
    <row r="131" spans="6:17" ht="14.25" customHeight="1" x14ac:dyDescent="0.3">
      <c r="F131" s="314"/>
      <c r="G131" s="314"/>
      <c r="I131" s="120"/>
      <c r="P131" s="122"/>
      <c r="Q131" s="122"/>
    </row>
    <row r="132" spans="6:17" ht="14.25" customHeight="1" x14ac:dyDescent="0.3">
      <c r="F132" s="314"/>
      <c r="G132" s="314"/>
      <c r="I132" s="120"/>
      <c r="P132" s="122"/>
      <c r="Q132" s="122"/>
    </row>
    <row r="133" spans="6:17" ht="14.25" customHeight="1" x14ac:dyDescent="0.3">
      <c r="F133" s="314"/>
      <c r="G133" s="314"/>
      <c r="I133" s="120"/>
      <c r="P133" s="122"/>
      <c r="Q133" s="122"/>
    </row>
    <row r="134" spans="6:17" ht="14.25" customHeight="1" x14ac:dyDescent="0.3">
      <c r="F134" s="314"/>
      <c r="G134" s="314"/>
      <c r="I134" s="120"/>
      <c r="P134" s="122"/>
      <c r="Q134" s="122"/>
    </row>
    <row r="135" spans="6:17" ht="14.25" customHeight="1" x14ac:dyDescent="0.3">
      <c r="F135" s="314"/>
      <c r="G135" s="314"/>
      <c r="I135" s="120"/>
      <c r="P135" s="122"/>
      <c r="Q135" s="122"/>
    </row>
    <row r="136" spans="6:17" ht="14.25" customHeight="1" x14ac:dyDescent="0.3">
      <c r="F136" s="314"/>
      <c r="G136" s="314"/>
      <c r="I136" s="120"/>
      <c r="P136" s="122"/>
      <c r="Q136" s="122"/>
    </row>
    <row r="137" spans="6:17" ht="14.25" customHeight="1" x14ac:dyDescent="0.3">
      <c r="F137" s="314"/>
      <c r="G137" s="314"/>
      <c r="I137" s="120"/>
      <c r="P137" s="122"/>
      <c r="Q137" s="122"/>
    </row>
    <row r="138" spans="6:17" ht="14.25" customHeight="1" x14ac:dyDescent="0.3">
      <c r="F138" s="314"/>
      <c r="G138" s="314"/>
      <c r="I138" s="120"/>
      <c r="P138" s="122"/>
      <c r="Q138" s="122"/>
    </row>
    <row r="139" spans="6:17" ht="14.25" customHeight="1" x14ac:dyDescent="0.3">
      <c r="F139" s="314"/>
      <c r="G139" s="314"/>
      <c r="I139" s="120"/>
      <c r="P139" s="122"/>
      <c r="Q139" s="122"/>
    </row>
    <row r="140" spans="6:17" ht="14.25" customHeight="1" x14ac:dyDescent="0.3">
      <c r="F140" s="314"/>
      <c r="G140" s="314"/>
      <c r="I140" s="120"/>
      <c r="P140" s="122"/>
      <c r="Q140" s="122"/>
    </row>
    <row r="141" spans="6:17" ht="14.25" customHeight="1" x14ac:dyDescent="0.3">
      <c r="F141" s="314"/>
      <c r="G141" s="314"/>
      <c r="I141" s="120"/>
      <c r="P141" s="122"/>
      <c r="Q141" s="122"/>
    </row>
    <row r="142" spans="6:17" ht="14.25" customHeight="1" x14ac:dyDescent="0.3">
      <c r="F142" s="314"/>
      <c r="G142" s="314"/>
      <c r="I142" s="120"/>
      <c r="P142" s="122"/>
      <c r="Q142" s="122"/>
    </row>
    <row r="143" spans="6:17" ht="14.25" customHeight="1" x14ac:dyDescent="0.3">
      <c r="F143" s="314"/>
      <c r="G143" s="314"/>
      <c r="I143" s="120"/>
      <c r="P143" s="122"/>
      <c r="Q143" s="122"/>
    </row>
    <row r="144" spans="6:17" ht="14.25" customHeight="1" x14ac:dyDescent="0.3">
      <c r="F144" s="314"/>
      <c r="G144" s="314"/>
      <c r="I144" s="120"/>
      <c r="P144" s="122"/>
      <c r="Q144" s="122"/>
    </row>
    <row r="145" spans="6:17" ht="14.25" customHeight="1" x14ac:dyDescent="0.3">
      <c r="F145" s="314"/>
      <c r="G145" s="314"/>
      <c r="I145" s="120"/>
      <c r="P145" s="122"/>
      <c r="Q145" s="122"/>
    </row>
    <row r="146" spans="6:17" ht="14.25" customHeight="1" x14ac:dyDescent="0.3">
      <c r="F146" s="314"/>
      <c r="G146" s="314"/>
      <c r="I146" s="120"/>
      <c r="P146" s="122"/>
      <c r="Q146" s="122"/>
    </row>
    <row r="147" spans="6:17" ht="14.25" customHeight="1" x14ac:dyDescent="0.3">
      <c r="F147" s="314"/>
      <c r="G147" s="314"/>
      <c r="I147" s="120"/>
      <c r="P147" s="122"/>
      <c r="Q147" s="122"/>
    </row>
    <row r="148" spans="6:17" ht="14.25" customHeight="1" x14ac:dyDescent="0.3">
      <c r="F148" s="314"/>
      <c r="G148" s="314"/>
      <c r="I148" s="120"/>
      <c r="P148" s="122"/>
      <c r="Q148" s="122"/>
    </row>
    <row r="149" spans="6:17" ht="14.25" customHeight="1" x14ac:dyDescent="0.3">
      <c r="F149" s="314"/>
      <c r="G149" s="314"/>
      <c r="I149" s="120"/>
      <c r="P149" s="122"/>
      <c r="Q149" s="122"/>
    </row>
    <row r="150" spans="6:17" ht="14.25" customHeight="1" x14ac:dyDescent="0.3">
      <c r="F150" s="314"/>
      <c r="G150" s="314"/>
      <c r="I150" s="120"/>
      <c r="P150" s="122"/>
      <c r="Q150" s="122"/>
    </row>
    <row r="151" spans="6:17" ht="14.25" customHeight="1" x14ac:dyDescent="0.3">
      <c r="F151" s="314"/>
      <c r="G151" s="314"/>
      <c r="I151" s="120"/>
      <c r="P151" s="122"/>
      <c r="Q151" s="122"/>
    </row>
    <row r="152" spans="6:17" ht="14.25" customHeight="1" x14ac:dyDescent="0.3">
      <c r="F152" s="314"/>
      <c r="G152" s="314"/>
      <c r="I152" s="120"/>
      <c r="P152" s="122"/>
      <c r="Q152" s="122"/>
    </row>
    <row r="153" spans="6:17" ht="14.25" customHeight="1" x14ac:dyDescent="0.3">
      <c r="F153" s="314"/>
      <c r="G153" s="314"/>
      <c r="I153" s="120"/>
      <c r="P153" s="122"/>
      <c r="Q153" s="122"/>
    </row>
    <row r="154" spans="6:17" ht="14.25" customHeight="1" x14ac:dyDescent="0.3">
      <c r="F154" s="314"/>
      <c r="G154" s="314"/>
      <c r="I154" s="120"/>
      <c r="P154" s="122"/>
      <c r="Q154" s="122"/>
    </row>
    <row r="155" spans="6:17" ht="14.25" customHeight="1" x14ac:dyDescent="0.3">
      <c r="F155" s="314"/>
      <c r="G155" s="314"/>
      <c r="I155" s="120"/>
      <c r="P155" s="122"/>
      <c r="Q155" s="122"/>
    </row>
    <row r="156" spans="6:17" ht="14.25" customHeight="1" x14ac:dyDescent="0.3">
      <c r="F156" s="314"/>
      <c r="G156" s="314"/>
      <c r="I156" s="120"/>
      <c r="P156" s="122"/>
      <c r="Q156" s="122"/>
    </row>
    <row r="157" spans="6:17" ht="14.25" customHeight="1" x14ac:dyDescent="0.3">
      <c r="F157" s="314"/>
      <c r="G157" s="314"/>
      <c r="I157" s="120"/>
      <c r="P157" s="122"/>
      <c r="Q157" s="122"/>
    </row>
    <row r="158" spans="6:17" ht="14.25" customHeight="1" x14ac:dyDescent="0.3">
      <c r="F158" s="314"/>
      <c r="G158" s="314"/>
      <c r="I158" s="120"/>
      <c r="P158" s="122"/>
      <c r="Q158" s="122"/>
    </row>
    <row r="159" spans="6:17" ht="14.25" customHeight="1" x14ac:dyDescent="0.3">
      <c r="F159" s="314"/>
      <c r="G159" s="314"/>
      <c r="I159" s="120"/>
      <c r="P159" s="122"/>
      <c r="Q159" s="122"/>
    </row>
    <row r="160" spans="6:17" ht="14.25" customHeight="1" x14ac:dyDescent="0.3">
      <c r="F160" s="314"/>
      <c r="G160" s="314"/>
      <c r="I160" s="120"/>
      <c r="P160" s="122"/>
      <c r="Q160" s="122"/>
    </row>
    <row r="161" spans="6:17" ht="14.25" customHeight="1" x14ac:dyDescent="0.3">
      <c r="F161" s="314"/>
      <c r="G161" s="314"/>
      <c r="I161" s="120"/>
      <c r="P161" s="122"/>
      <c r="Q161" s="122"/>
    </row>
    <row r="162" spans="6:17" ht="14.25" customHeight="1" x14ac:dyDescent="0.3">
      <c r="F162" s="314"/>
      <c r="G162" s="314"/>
      <c r="I162" s="120"/>
      <c r="P162" s="122"/>
      <c r="Q162" s="122"/>
    </row>
    <row r="163" spans="6:17" ht="14.25" customHeight="1" x14ac:dyDescent="0.3">
      <c r="F163" s="314"/>
      <c r="G163" s="314"/>
      <c r="I163" s="120"/>
      <c r="P163" s="122"/>
      <c r="Q163" s="122"/>
    </row>
    <row r="164" spans="6:17" ht="14.25" customHeight="1" x14ac:dyDescent="0.3">
      <c r="F164" s="314"/>
      <c r="G164" s="314"/>
      <c r="I164" s="120"/>
      <c r="P164" s="122"/>
      <c r="Q164" s="122"/>
    </row>
    <row r="165" spans="6:17" ht="14.25" customHeight="1" x14ac:dyDescent="0.3">
      <c r="F165" s="314"/>
      <c r="G165" s="314"/>
      <c r="I165" s="120"/>
      <c r="P165" s="122"/>
      <c r="Q165" s="122"/>
    </row>
    <row r="166" spans="6:17" ht="14.25" customHeight="1" x14ac:dyDescent="0.3">
      <c r="F166" s="314"/>
      <c r="G166" s="314"/>
      <c r="I166" s="120"/>
      <c r="P166" s="122"/>
      <c r="Q166" s="122"/>
    </row>
    <row r="167" spans="6:17" ht="14.25" customHeight="1" x14ac:dyDescent="0.3">
      <c r="F167" s="314"/>
      <c r="G167" s="314"/>
      <c r="I167" s="120"/>
      <c r="P167" s="122"/>
      <c r="Q167" s="122"/>
    </row>
    <row r="168" spans="6:17" ht="14.25" customHeight="1" x14ac:dyDescent="0.3">
      <c r="F168" s="314"/>
      <c r="G168" s="314"/>
      <c r="I168" s="120"/>
      <c r="P168" s="122"/>
      <c r="Q168" s="122"/>
    </row>
    <row r="169" spans="6:17" ht="14.25" customHeight="1" x14ac:dyDescent="0.3">
      <c r="F169" s="314"/>
      <c r="G169" s="314"/>
      <c r="I169" s="120"/>
      <c r="P169" s="122"/>
      <c r="Q169" s="122"/>
    </row>
    <row r="170" spans="6:17" ht="14.25" customHeight="1" x14ac:dyDescent="0.3">
      <c r="F170" s="314"/>
      <c r="G170" s="314"/>
      <c r="I170" s="120"/>
      <c r="P170" s="122"/>
      <c r="Q170" s="122"/>
    </row>
    <row r="171" spans="6:17" ht="14.25" customHeight="1" x14ac:dyDescent="0.3">
      <c r="F171" s="314"/>
      <c r="G171" s="314"/>
      <c r="I171" s="120"/>
      <c r="P171" s="122"/>
      <c r="Q171" s="122"/>
    </row>
    <row r="172" spans="6:17" ht="14.25" customHeight="1" x14ac:dyDescent="0.3">
      <c r="F172" s="314"/>
      <c r="G172" s="314"/>
      <c r="I172" s="120"/>
      <c r="P172" s="122"/>
      <c r="Q172" s="122"/>
    </row>
    <row r="173" spans="6:17" ht="14.25" customHeight="1" x14ac:dyDescent="0.3">
      <c r="F173" s="314"/>
      <c r="G173" s="314"/>
      <c r="I173" s="120"/>
      <c r="P173" s="122"/>
      <c r="Q173" s="122"/>
    </row>
    <row r="174" spans="6:17" ht="14.25" customHeight="1" x14ac:dyDescent="0.3">
      <c r="F174" s="314"/>
      <c r="G174" s="314"/>
      <c r="I174" s="120"/>
      <c r="P174" s="122"/>
      <c r="Q174" s="122"/>
    </row>
    <row r="175" spans="6:17" ht="14.25" customHeight="1" x14ac:dyDescent="0.3">
      <c r="F175" s="314"/>
      <c r="G175" s="314"/>
      <c r="I175" s="120"/>
      <c r="P175" s="122"/>
      <c r="Q175" s="122"/>
    </row>
    <row r="176" spans="6:17" ht="14.25" customHeight="1" x14ac:dyDescent="0.3">
      <c r="F176" s="314"/>
      <c r="G176" s="314"/>
      <c r="I176" s="120"/>
      <c r="P176" s="122"/>
      <c r="Q176" s="122"/>
    </row>
    <row r="177" spans="6:17" ht="14.25" customHeight="1" x14ac:dyDescent="0.3">
      <c r="F177" s="314"/>
      <c r="G177" s="314"/>
      <c r="I177" s="120"/>
      <c r="P177" s="122"/>
      <c r="Q177" s="122"/>
    </row>
    <row r="178" spans="6:17" ht="14.25" customHeight="1" x14ac:dyDescent="0.3">
      <c r="F178" s="314"/>
      <c r="G178" s="314"/>
      <c r="I178" s="120"/>
      <c r="P178" s="122"/>
      <c r="Q178" s="122"/>
    </row>
    <row r="179" spans="6:17" ht="14.25" customHeight="1" x14ac:dyDescent="0.3">
      <c r="F179" s="314"/>
      <c r="G179" s="314"/>
      <c r="I179" s="120"/>
      <c r="P179" s="122"/>
      <c r="Q179" s="122"/>
    </row>
    <row r="180" spans="6:17" ht="14.25" customHeight="1" x14ac:dyDescent="0.3">
      <c r="F180" s="314"/>
      <c r="G180" s="314"/>
      <c r="I180" s="120"/>
      <c r="P180" s="122"/>
      <c r="Q180" s="122"/>
    </row>
    <row r="181" spans="6:17" ht="14.25" customHeight="1" x14ac:dyDescent="0.3">
      <c r="F181" s="314"/>
      <c r="G181" s="314"/>
      <c r="I181" s="120"/>
      <c r="P181" s="122"/>
      <c r="Q181" s="122"/>
    </row>
    <row r="182" spans="6:17" ht="14.25" customHeight="1" x14ac:dyDescent="0.3">
      <c r="F182" s="314"/>
      <c r="G182" s="314"/>
      <c r="I182" s="120"/>
      <c r="P182" s="122"/>
      <c r="Q182" s="122"/>
    </row>
    <row r="183" spans="6:17" ht="14.25" customHeight="1" x14ac:dyDescent="0.3">
      <c r="F183" s="314"/>
      <c r="G183" s="314"/>
      <c r="I183" s="120"/>
      <c r="P183" s="122"/>
      <c r="Q183" s="122"/>
    </row>
    <row r="184" spans="6:17" ht="14.25" customHeight="1" x14ac:dyDescent="0.3">
      <c r="F184" s="314"/>
      <c r="G184" s="314"/>
      <c r="I184" s="120"/>
      <c r="P184" s="122"/>
      <c r="Q184" s="122"/>
    </row>
    <row r="185" spans="6:17" ht="14.25" customHeight="1" x14ac:dyDescent="0.3">
      <c r="F185" s="314"/>
      <c r="G185" s="314"/>
      <c r="I185" s="120"/>
      <c r="P185" s="122"/>
      <c r="Q185" s="122"/>
    </row>
    <row r="186" spans="6:17" ht="14.25" customHeight="1" x14ac:dyDescent="0.3">
      <c r="F186" s="314"/>
      <c r="G186" s="314"/>
      <c r="I186" s="120"/>
      <c r="P186" s="122"/>
      <c r="Q186" s="122"/>
    </row>
    <row r="187" spans="6:17" ht="14.25" customHeight="1" x14ac:dyDescent="0.3">
      <c r="F187" s="314"/>
      <c r="G187" s="314"/>
      <c r="I187" s="120"/>
      <c r="P187" s="122"/>
      <c r="Q187" s="122"/>
    </row>
    <row r="188" spans="6:17" ht="14.25" customHeight="1" x14ac:dyDescent="0.3">
      <c r="F188" s="314"/>
      <c r="G188" s="314"/>
      <c r="I188" s="120"/>
      <c r="P188" s="122"/>
      <c r="Q188" s="122"/>
    </row>
    <row r="189" spans="6:17" ht="14.25" customHeight="1" x14ac:dyDescent="0.3">
      <c r="F189" s="314"/>
      <c r="G189" s="314"/>
      <c r="I189" s="120"/>
      <c r="P189" s="122"/>
      <c r="Q189" s="122"/>
    </row>
    <row r="190" spans="6:17" ht="14.25" customHeight="1" x14ac:dyDescent="0.3">
      <c r="F190" s="314"/>
      <c r="G190" s="314"/>
      <c r="I190" s="120"/>
      <c r="P190" s="122"/>
      <c r="Q190" s="122"/>
    </row>
    <row r="191" spans="6:17" ht="14.25" customHeight="1" x14ac:dyDescent="0.3">
      <c r="F191" s="314"/>
      <c r="G191" s="314"/>
      <c r="I191" s="120"/>
      <c r="P191" s="122"/>
      <c r="Q191" s="122"/>
    </row>
    <row r="192" spans="6:17" ht="14.25" customHeight="1" x14ac:dyDescent="0.3">
      <c r="F192" s="314"/>
      <c r="G192" s="314"/>
      <c r="I192" s="120"/>
      <c r="P192" s="122"/>
      <c r="Q192" s="122"/>
    </row>
    <row r="193" spans="6:17" ht="14.25" customHeight="1" x14ac:dyDescent="0.3">
      <c r="F193" s="314"/>
      <c r="G193" s="314"/>
      <c r="I193" s="120"/>
      <c r="P193" s="122"/>
      <c r="Q193" s="122"/>
    </row>
    <row r="194" spans="6:17" ht="14.25" customHeight="1" x14ac:dyDescent="0.3">
      <c r="F194" s="314"/>
      <c r="G194" s="314"/>
      <c r="I194" s="120"/>
      <c r="P194" s="122"/>
      <c r="Q194" s="122"/>
    </row>
    <row r="195" spans="6:17" ht="14.25" customHeight="1" x14ac:dyDescent="0.3">
      <c r="F195" s="314"/>
      <c r="G195" s="314"/>
      <c r="I195" s="120"/>
      <c r="P195" s="122"/>
      <c r="Q195" s="122"/>
    </row>
    <row r="196" spans="6:17" ht="14.25" customHeight="1" x14ac:dyDescent="0.3">
      <c r="F196" s="314"/>
      <c r="G196" s="314"/>
      <c r="I196" s="120"/>
      <c r="P196" s="122"/>
      <c r="Q196" s="122"/>
    </row>
    <row r="197" spans="6:17" ht="14.25" customHeight="1" x14ac:dyDescent="0.3">
      <c r="F197" s="314"/>
      <c r="G197" s="314"/>
      <c r="I197" s="120"/>
      <c r="P197" s="122"/>
      <c r="Q197" s="122"/>
    </row>
    <row r="198" spans="6:17" ht="14.25" customHeight="1" x14ac:dyDescent="0.3">
      <c r="F198" s="314"/>
      <c r="G198" s="314"/>
      <c r="I198" s="120"/>
      <c r="P198" s="122"/>
      <c r="Q198" s="122"/>
    </row>
    <row r="199" spans="6:17" ht="14.25" customHeight="1" x14ac:dyDescent="0.3">
      <c r="F199" s="314"/>
      <c r="G199" s="314"/>
      <c r="I199" s="120"/>
      <c r="P199" s="122"/>
      <c r="Q199" s="122"/>
    </row>
    <row r="200" spans="6:17" ht="14.25" customHeight="1" x14ac:dyDescent="0.3">
      <c r="F200" s="314"/>
      <c r="G200" s="314"/>
      <c r="I200" s="120"/>
      <c r="P200" s="122"/>
      <c r="Q200" s="122"/>
    </row>
    <row r="201" spans="6:17" ht="14.25" customHeight="1" x14ac:dyDescent="0.3">
      <c r="F201" s="314"/>
      <c r="G201" s="314"/>
      <c r="I201" s="120"/>
      <c r="P201" s="122"/>
      <c r="Q201" s="122"/>
    </row>
    <row r="202" spans="6:17" ht="14.25" customHeight="1" x14ac:dyDescent="0.3">
      <c r="F202" s="314"/>
      <c r="G202" s="314"/>
      <c r="I202" s="120"/>
      <c r="P202" s="122"/>
      <c r="Q202" s="122"/>
    </row>
    <row r="203" spans="6:17" ht="14.25" customHeight="1" x14ac:dyDescent="0.3">
      <c r="F203" s="314"/>
      <c r="G203" s="314"/>
      <c r="I203" s="120"/>
      <c r="P203" s="122"/>
      <c r="Q203" s="122"/>
    </row>
    <row r="204" spans="6:17" ht="14.25" customHeight="1" x14ac:dyDescent="0.3">
      <c r="F204" s="314"/>
      <c r="G204" s="314"/>
      <c r="I204" s="120"/>
      <c r="P204" s="122"/>
      <c r="Q204" s="122"/>
    </row>
    <row r="205" spans="6:17" ht="14.25" customHeight="1" x14ac:dyDescent="0.3">
      <c r="F205" s="314"/>
      <c r="G205" s="314"/>
      <c r="I205" s="120"/>
      <c r="P205" s="122"/>
      <c r="Q205" s="122"/>
    </row>
    <row r="206" spans="6:17" ht="14.25" customHeight="1" x14ac:dyDescent="0.3">
      <c r="F206" s="314"/>
      <c r="G206" s="314"/>
      <c r="I206" s="120"/>
      <c r="P206" s="122"/>
      <c r="Q206" s="122"/>
    </row>
    <row r="207" spans="6:17" ht="14.25" customHeight="1" x14ac:dyDescent="0.3">
      <c r="F207" s="314"/>
      <c r="G207" s="314"/>
      <c r="I207" s="120"/>
      <c r="P207" s="122"/>
      <c r="Q207" s="122"/>
    </row>
    <row r="208" spans="6:17" ht="14.25" customHeight="1" x14ac:dyDescent="0.3">
      <c r="F208" s="314"/>
      <c r="G208" s="314"/>
      <c r="I208" s="120"/>
      <c r="P208" s="122"/>
      <c r="Q208" s="122"/>
    </row>
    <row r="209" spans="6:17" ht="14.25" customHeight="1" x14ac:dyDescent="0.3">
      <c r="F209" s="314"/>
      <c r="G209" s="314"/>
      <c r="I209" s="120"/>
      <c r="P209" s="122"/>
      <c r="Q209" s="122"/>
    </row>
    <row r="210" spans="6:17" ht="14.25" customHeight="1" x14ac:dyDescent="0.3">
      <c r="F210" s="314"/>
      <c r="G210" s="314"/>
      <c r="I210" s="120"/>
      <c r="P210" s="122"/>
      <c r="Q210" s="122"/>
    </row>
    <row r="211" spans="6:17" ht="14.25" customHeight="1" x14ac:dyDescent="0.3">
      <c r="F211" s="314"/>
      <c r="G211" s="314"/>
      <c r="I211" s="120"/>
      <c r="P211" s="122"/>
      <c r="Q211" s="122"/>
    </row>
    <row r="212" spans="6:17" ht="14.25" customHeight="1" x14ac:dyDescent="0.3">
      <c r="F212" s="314"/>
      <c r="G212" s="314"/>
      <c r="I212" s="120"/>
      <c r="P212" s="122"/>
      <c r="Q212" s="122"/>
    </row>
    <row r="213" spans="6:17" ht="14.25" customHeight="1" x14ac:dyDescent="0.3">
      <c r="F213" s="314"/>
      <c r="G213" s="314"/>
      <c r="I213" s="120"/>
      <c r="P213" s="122"/>
      <c r="Q213" s="122"/>
    </row>
    <row r="214" spans="6:17" ht="14.25" customHeight="1" x14ac:dyDescent="0.3">
      <c r="F214" s="314"/>
      <c r="G214" s="314"/>
      <c r="I214" s="120"/>
      <c r="P214" s="122"/>
      <c r="Q214" s="122"/>
    </row>
    <row r="215" spans="6:17" ht="14.25" customHeight="1" x14ac:dyDescent="0.3">
      <c r="F215" s="314"/>
      <c r="G215" s="314"/>
      <c r="I215" s="120"/>
      <c r="P215" s="122"/>
      <c r="Q215" s="122"/>
    </row>
    <row r="216" spans="6:17" ht="14.25" customHeight="1" x14ac:dyDescent="0.3">
      <c r="F216" s="314"/>
      <c r="G216" s="314"/>
      <c r="I216" s="120"/>
      <c r="P216" s="122"/>
      <c r="Q216" s="122"/>
    </row>
    <row r="217" spans="6:17" ht="14.25" customHeight="1" x14ac:dyDescent="0.3">
      <c r="F217" s="314"/>
      <c r="G217" s="314"/>
      <c r="I217" s="120"/>
      <c r="P217" s="122"/>
      <c r="Q217" s="122"/>
    </row>
    <row r="218" spans="6:17" ht="14.25" customHeight="1" x14ac:dyDescent="0.3">
      <c r="F218" s="314"/>
      <c r="G218" s="314"/>
      <c r="I218" s="120"/>
      <c r="P218" s="122"/>
      <c r="Q218" s="122"/>
    </row>
    <row r="219" spans="6:17" ht="14.25" customHeight="1" x14ac:dyDescent="0.3">
      <c r="F219" s="314"/>
      <c r="G219" s="314"/>
      <c r="I219" s="120"/>
      <c r="P219" s="122"/>
      <c r="Q219" s="122"/>
    </row>
    <row r="220" spans="6:17" ht="14.25" customHeight="1" x14ac:dyDescent="0.3">
      <c r="F220" s="314"/>
      <c r="G220" s="314"/>
      <c r="I220" s="120"/>
      <c r="P220" s="122"/>
      <c r="Q220" s="122"/>
    </row>
    <row r="221" spans="6:17" ht="14.25" customHeight="1" x14ac:dyDescent="0.3">
      <c r="F221" s="314"/>
      <c r="G221" s="314"/>
      <c r="I221" s="120"/>
      <c r="P221" s="122"/>
      <c r="Q221" s="122"/>
    </row>
    <row r="222" spans="6:17" ht="14.25" customHeight="1" x14ac:dyDescent="0.3">
      <c r="F222" s="314"/>
      <c r="G222" s="314"/>
      <c r="I222" s="120"/>
      <c r="P222" s="122"/>
      <c r="Q222" s="122"/>
    </row>
    <row r="223" spans="6:17" ht="14.25" customHeight="1" x14ac:dyDescent="0.3">
      <c r="F223" s="314"/>
      <c r="G223" s="314"/>
      <c r="I223" s="120"/>
      <c r="P223" s="122"/>
      <c r="Q223" s="122"/>
    </row>
    <row r="224" spans="6:17" ht="14.25" customHeight="1" x14ac:dyDescent="0.3">
      <c r="F224" s="314"/>
      <c r="G224" s="314"/>
      <c r="I224" s="120"/>
      <c r="P224" s="122"/>
      <c r="Q224" s="122"/>
    </row>
    <row r="225" spans="6:17" ht="14.25" customHeight="1" x14ac:dyDescent="0.3">
      <c r="F225" s="314"/>
      <c r="G225" s="314"/>
      <c r="I225" s="120"/>
      <c r="P225" s="122"/>
      <c r="Q225" s="122"/>
    </row>
    <row r="226" spans="6:17" ht="14.25" customHeight="1" x14ac:dyDescent="0.3">
      <c r="F226" s="314"/>
      <c r="G226" s="314"/>
      <c r="I226" s="120"/>
      <c r="P226" s="122"/>
      <c r="Q226" s="122"/>
    </row>
    <row r="227" spans="6:17" ht="14.25" customHeight="1" x14ac:dyDescent="0.3">
      <c r="F227" s="314"/>
      <c r="G227" s="314"/>
      <c r="I227" s="120"/>
      <c r="P227" s="122"/>
      <c r="Q227" s="122"/>
    </row>
    <row r="228" spans="6:17" ht="14.25" customHeight="1" x14ac:dyDescent="0.3">
      <c r="F228" s="314"/>
      <c r="G228" s="314"/>
      <c r="I228" s="120"/>
      <c r="P228" s="122"/>
      <c r="Q228" s="122"/>
    </row>
    <row r="229" spans="6:17" ht="14.25" customHeight="1" x14ac:dyDescent="0.3">
      <c r="F229" s="314"/>
      <c r="G229" s="314"/>
      <c r="I229" s="120"/>
      <c r="P229" s="122"/>
      <c r="Q229" s="122"/>
    </row>
    <row r="230" spans="6:17" ht="14.25" customHeight="1" x14ac:dyDescent="0.3">
      <c r="F230" s="314"/>
      <c r="G230" s="314"/>
      <c r="I230" s="120"/>
      <c r="P230" s="122"/>
      <c r="Q230" s="122"/>
    </row>
    <row r="231" spans="6:17" ht="14.25" customHeight="1" x14ac:dyDescent="0.3">
      <c r="F231" s="314"/>
      <c r="G231" s="314"/>
      <c r="I231" s="120"/>
      <c r="P231" s="122"/>
      <c r="Q231" s="122"/>
    </row>
    <row r="232" spans="6:17" ht="14.25" customHeight="1" x14ac:dyDescent="0.3">
      <c r="F232" s="314"/>
      <c r="G232" s="314"/>
      <c r="I232" s="120"/>
      <c r="P232" s="122"/>
      <c r="Q232" s="122"/>
    </row>
    <row r="233" spans="6:17" ht="14.25" customHeight="1" x14ac:dyDescent="0.3">
      <c r="F233" s="314"/>
      <c r="G233" s="314"/>
      <c r="I233" s="120"/>
      <c r="P233" s="122"/>
      <c r="Q233" s="122"/>
    </row>
    <row r="234" spans="6:17" ht="14.25" customHeight="1" x14ac:dyDescent="0.3">
      <c r="F234" s="314"/>
      <c r="G234" s="314"/>
      <c r="I234" s="120"/>
      <c r="P234" s="122"/>
      <c r="Q234" s="122"/>
    </row>
    <row r="235" spans="6:17" ht="14.25" customHeight="1" x14ac:dyDescent="0.3">
      <c r="F235" s="314"/>
      <c r="G235" s="314"/>
      <c r="I235" s="120"/>
      <c r="P235" s="122"/>
      <c r="Q235" s="122"/>
    </row>
    <row r="236" spans="6:17" ht="14.25" customHeight="1" x14ac:dyDescent="0.3">
      <c r="F236" s="314"/>
      <c r="G236" s="314"/>
      <c r="I236" s="120"/>
      <c r="P236" s="122"/>
      <c r="Q236" s="122"/>
    </row>
    <row r="237" spans="6:17" ht="14.25" customHeight="1" x14ac:dyDescent="0.3">
      <c r="F237" s="314"/>
      <c r="G237" s="314"/>
      <c r="I237" s="120"/>
      <c r="P237" s="122"/>
      <c r="Q237" s="122"/>
    </row>
    <row r="238" spans="6:17" ht="14.25" customHeight="1" x14ac:dyDescent="0.3">
      <c r="F238" s="314"/>
      <c r="G238" s="314"/>
      <c r="I238" s="120"/>
      <c r="P238" s="122"/>
      <c r="Q238" s="122"/>
    </row>
    <row r="239" spans="6:17" ht="14.25" customHeight="1" x14ac:dyDescent="0.3">
      <c r="F239" s="314"/>
      <c r="G239" s="314"/>
      <c r="I239" s="120"/>
      <c r="P239" s="122"/>
      <c r="Q239" s="122"/>
    </row>
    <row r="240" spans="6:17" ht="14.25" customHeight="1" x14ac:dyDescent="0.3">
      <c r="F240" s="314"/>
      <c r="G240" s="314"/>
      <c r="I240" s="120"/>
      <c r="P240" s="122"/>
      <c r="Q240" s="122"/>
    </row>
    <row r="241" spans="6:17" ht="14.25" customHeight="1" x14ac:dyDescent="0.3">
      <c r="F241" s="314"/>
      <c r="G241" s="314"/>
      <c r="I241" s="120"/>
      <c r="P241" s="122"/>
      <c r="Q241" s="122"/>
    </row>
    <row r="242" spans="6:17" ht="14.25" customHeight="1" x14ac:dyDescent="0.3">
      <c r="F242" s="314"/>
      <c r="G242" s="314"/>
      <c r="I242" s="120"/>
      <c r="P242" s="122"/>
      <c r="Q242" s="122"/>
    </row>
    <row r="243" spans="6:17" ht="14.25" customHeight="1" x14ac:dyDescent="0.3">
      <c r="F243" s="314"/>
      <c r="G243" s="314"/>
      <c r="I243" s="120"/>
      <c r="P243" s="122"/>
      <c r="Q243" s="122"/>
    </row>
    <row r="244" spans="6:17" ht="14.25" customHeight="1" x14ac:dyDescent="0.3">
      <c r="F244" s="314"/>
      <c r="G244" s="314"/>
      <c r="I244" s="120"/>
      <c r="P244" s="122"/>
      <c r="Q244" s="122"/>
    </row>
    <row r="245" spans="6:17" ht="14.25" customHeight="1" x14ac:dyDescent="0.3">
      <c r="F245" s="314"/>
      <c r="G245" s="314"/>
      <c r="I245" s="120"/>
      <c r="P245" s="122"/>
      <c r="Q245" s="122"/>
    </row>
    <row r="246" spans="6:17" ht="14.25" customHeight="1" x14ac:dyDescent="0.3">
      <c r="F246" s="314"/>
      <c r="G246" s="314"/>
      <c r="I246" s="120"/>
      <c r="P246" s="122"/>
      <c r="Q246" s="122"/>
    </row>
    <row r="247" spans="6:17" ht="14.25" customHeight="1" x14ac:dyDescent="0.3">
      <c r="F247" s="314"/>
      <c r="G247" s="314"/>
      <c r="I247" s="120"/>
      <c r="P247" s="122"/>
      <c r="Q247" s="122"/>
    </row>
    <row r="248" spans="6:17" ht="14.25" customHeight="1" x14ac:dyDescent="0.3">
      <c r="F248" s="314"/>
      <c r="G248" s="314"/>
      <c r="I248" s="120"/>
      <c r="P248" s="122"/>
      <c r="Q248" s="122"/>
    </row>
    <row r="249" spans="6:17" ht="14.25" customHeight="1" x14ac:dyDescent="0.3">
      <c r="F249" s="314"/>
      <c r="G249" s="314"/>
      <c r="I249" s="120"/>
      <c r="P249" s="122"/>
      <c r="Q249" s="122"/>
    </row>
    <row r="250" spans="6:17" ht="14.25" customHeight="1" x14ac:dyDescent="0.3">
      <c r="F250" s="314"/>
      <c r="G250" s="314"/>
      <c r="I250" s="120"/>
      <c r="P250" s="122"/>
      <c r="Q250" s="122"/>
    </row>
    <row r="251" spans="6:17" ht="14.25" customHeight="1" x14ac:dyDescent="0.3">
      <c r="F251" s="314"/>
      <c r="G251" s="314"/>
      <c r="I251" s="120"/>
      <c r="P251" s="122"/>
      <c r="Q251" s="122"/>
    </row>
    <row r="252" spans="6:17" ht="14.25" customHeight="1" x14ac:dyDescent="0.3">
      <c r="F252" s="314"/>
      <c r="G252" s="314"/>
      <c r="I252" s="120"/>
      <c r="P252" s="122"/>
      <c r="Q252" s="122"/>
    </row>
    <row r="253" spans="6:17" ht="14.25" customHeight="1" x14ac:dyDescent="0.3">
      <c r="F253" s="314"/>
      <c r="G253" s="314"/>
      <c r="I253" s="120"/>
      <c r="P253" s="122"/>
      <c r="Q253" s="122"/>
    </row>
    <row r="254" spans="6:17" ht="14.25" customHeight="1" x14ac:dyDescent="0.3">
      <c r="F254" s="314"/>
      <c r="G254" s="314"/>
      <c r="I254" s="120"/>
      <c r="P254" s="122"/>
      <c r="Q254" s="122"/>
    </row>
    <row r="255" spans="6:17" ht="14.25" customHeight="1" x14ac:dyDescent="0.3">
      <c r="F255" s="314"/>
      <c r="G255" s="314"/>
      <c r="I255" s="120"/>
      <c r="P255" s="122"/>
      <c r="Q255" s="122"/>
    </row>
    <row r="256" spans="6:17" ht="14.25" customHeight="1" x14ac:dyDescent="0.3">
      <c r="F256" s="314"/>
      <c r="G256" s="314"/>
      <c r="I256" s="120"/>
      <c r="P256" s="122"/>
      <c r="Q256" s="122"/>
    </row>
    <row r="257" spans="6:17" ht="14.25" customHeight="1" x14ac:dyDescent="0.3">
      <c r="F257" s="314"/>
      <c r="G257" s="314"/>
      <c r="I257" s="120"/>
      <c r="P257" s="122"/>
      <c r="Q257" s="122"/>
    </row>
    <row r="258" spans="6:17" ht="14.25" customHeight="1" x14ac:dyDescent="0.3">
      <c r="F258" s="314"/>
      <c r="G258" s="314"/>
      <c r="I258" s="120"/>
      <c r="P258" s="122"/>
      <c r="Q258" s="122"/>
    </row>
    <row r="259" spans="6:17" ht="14.25" customHeight="1" x14ac:dyDescent="0.3">
      <c r="F259" s="314"/>
      <c r="G259" s="314"/>
      <c r="I259" s="120"/>
      <c r="P259" s="122"/>
      <c r="Q259" s="122"/>
    </row>
    <row r="260" spans="6:17" ht="14.25" customHeight="1" x14ac:dyDescent="0.3">
      <c r="F260" s="314"/>
      <c r="G260" s="314"/>
      <c r="I260" s="120"/>
      <c r="P260" s="122"/>
      <c r="Q260" s="122"/>
    </row>
    <row r="261" spans="6:17" ht="14.25" customHeight="1" x14ac:dyDescent="0.3">
      <c r="F261" s="314"/>
      <c r="G261" s="314"/>
      <c r="I261" s="120"/>
      <c r="P261" s="122"/>
      <c r="Q261" s="122"/>
    </row>
    <row r="262" spans="6:17" ht="14.25" customHeight="1" x14ac:dyDescent="0.3">
      <c r="F262" s="314"/>
      <c r="G262" s="314"/>
      <c r="I262" s="120"/>
      <c r="P262" s="122"/>
      <c r="Q262" s="122"/>
    </row>
    <row r="263" spans="6:17" ht="14.25" customHeight="1" x14ac:dyDescent="0.3">
      <c r="F263" s="314"/>
      <c r="G263" s="314"/>
      <c r="I263" s="120"/>
      <c r="P263" s="122"/>
      <c r="Q263" s="122"/>
    </row>
    <row r="264" spans="6:17" ht="14.25" customHeight="1" x14ac:dyDescent="0.3">
      <c r="F264" s="314"/>
      <c r="G264" s="314"/>
      <c r="I264" s="120"/>
      <c r="P264" s="122"/>
      <c r="Q264" s="122"/>
    </row>
    <row r="265" spans="6:17" ht="14.25" customHeight="1" x14ac:dyDescent="0.3">
      <c r="F265" s="314"/>
      <c r="G265" s="314"/>
      <c r="I265" s="120"/>
      <c r="P265" s="122"/>
      <c r="Q265" s="122"/>
    </row>
    <row r="266" spans="6:17" ht="14.25" customHeight="1" x14ac:dyDescent="0.3">
      <c r="F266" s="314"/>
      <c r="G266" s="314"/>
      <c r="I266" s="120"/>
      <c r="P266" s="122"/>
      <c r="Q266" s="122"/>
    </row>
    <row r="267" spans="6:17" ht="14.25" customHeight="1" x14ac:dyDescent="0.3">
      <c r="F267" s="314"/>
      <c r="G267" s="314"/>
      <c r="I267" s="120"/>
      <c r="P267" s="122"/>
      <c r="Q267" s="122"/>
    </row>
    <row r="268" spans="6:17" ht="14.25" customHeight="1" x14ac:dyDescent="0.3">
      <c r="F268" s="314"/>
      <c r="G268" s="314"/>
      <c r="I268" s="120"/>
      <c r="P268" s="122"/>
      <c r="Q268" s="122"/>
    </row>
    <row r="269" spans="6:17" ht="14.25" customHeight="1" x14ac:dyDescent="0.3">
      <c r="F269" s="314"/>
      <c r="G269" s="314"/>
      <c r="I269" s="120"/>
      <c r="P269" s="122"/>
      <c r="Q269" s="122"/>
    </row>
    <row r="270" spans="6:17" ht="14.25" customHeight="1" x14ac:dyDescent="0.3">
      <c r="F270" s="314"/>
      <c r="G270" s="314"/>
      <c r="I270" s="120"/>
      <c r="P270" s="122"/>
      <c r="Q270" s="122"/>
    </row>
    <row r="271" spans="6:17" ht="14.25" customHeight="1" x14ac:dyDescent="0.3">
      <c r="F271" s="314"/>
      <c r="G271" s="314"/>
      <c r="I271" s="120"/>
      <c r="P271" s="122"/>
      <c r="Q271" s="122"/>
    </row>
    <row r="272" spans="6:17" ht="14.25" customHeight="1" x14ac:dyDescent="0.3">
      <c r="F272" s="314"/>
      <c r="G272" s="314"/>
      <c r="I272" s="120"/>
      <c r="P272" s="122"/>
      <c r="Q272" s="122"/>
    </row>
    <row r="273" spans="6:17" ht="14.25" customHeight="1" x14ac:dyDescent="0.3">
      <c r="F273" s="314"/>
      <c r="G273" s="314"/>
      <c r="I273" s="120"/>
      <c r="P273" s="122"/>
      <c r="Q273" s="122"/>
    </row>
    <row r="274" spans="6:17" ht="14.25" customHeight="1" x14ac:dyDescent="0.3">
      <c r="F274" s="314"/>
      <c r="G274" s="314"/>
      <c r="I274" s="120"/>
      <c r="P274" s="122"/>
      <c r="Q274" s="122"/>
    </row>
    <row r="275" spans="6:17" ht="14.25" customHeight="1" x14ac:dyDescent="0.3">
      <c r="F275" s="314"/>
      <c r="G275" s="314"/>
      <c r="I275" s="120"/>
      <c r="P275" s="122"/>
      <c r="Q275" s="122"/>
    </row>
    <row r="276" spans="6:17" ht="14.25" customHeight="1" x14ac:dyDescent="0.3">
      <c r="F276" s="314"/>
      <c r="G276" s="314"/>
      <c r="I276" s="120"/>
      <c r="P276" s="122"/>
      <c r="Q276" s="122"/>
    </row>
    <row r="277" spans="6:17" ht="14.25" customHeight="1" x14ac:dyDescent="0.3">
      <c r="F277" s="314"/>
      <c r="G277" s="314"/>
      <c r="I277" s="120"/>
      <c r="P277" s="122"/>
      <c r="Q277" s="122"/>
    </row>
    <row r="278" spans="6:17" ht="14.25" customHeight="1" x14ac:dyDescent="0.3">
      <c r="F278" s="314"/>
      <c r="G278" s="314"/>
      <c r="I278" s="120"/>
      <c r="P278" s="122"/>
      <c r="Q278" s="122"/>
    </row>
    <row r="279" spans="6:17" ht="14.25" customHeight="1" x14ac:dyDescent="0.3">
      <c r="F279" s="314"/>
      <c r="G279" s="314"/>
      <c r="I279" s="120"/>
      <c r="P279" s="122"/>
      <c r="Q279" s="122"/>
    </row>
    <row r="280" spans="6:17" ht="14.25" customHeight="1" x14ac:dyDescent="0.3">
      <c r="F280" s="314"/>
      <c r="G280" s="314"/>
      <c r="I280" s="120"/>
      <c r="P280" s="122"/>
      <c r="Q280" s="122"/>
    </row>
    <row r="281" spans="6:17" ht="14.25" customHeight="1" x14ac:dyDescent="0.3">
      <c r="F281" s="314"/>
      <c r="G281" s="314"/>
      <c r="I281" s="120"/>
      <c r="P281" s="122"/>
      <c r="Q281" s="122"/>
    </row>
    <row r="282" spans="6:17" ht="14.25" customHeight="1" x14ac:dyDescent="0.3">
      <c r="F282" s="314"/>
      <c r="G282" s="314"/>
      <c r="I282" s="120"/>
      <c r="P282" s="122"/>
      <c r="Q282" s="122"/>
    </row>
    <row r="283" spans="6:17" ht="14.25" customHeight="1" x14ac:dyDescent="0.3">
      <c r="F283" s="314"/>
      <c r="G283" s="314"/>
      <c r="I283" s="120"/>
      <c r="P283" s="122"/>
      <c r="Q283" s="122"/>
    </row>
    <row r="284" spans="6:17" ht="14.25" customHeight="1" x14ac:dyDescent="0.3">
      <c r="F284" s="314"/>
      <c r="G284" s="314"/>
      <c r="I284" s="120"/>
      <c r="P284" s="122"/>
      <c r="Q284" s="122"/>
    </row>
    <row r="285" spans="6:17" ht="14.25" customHeight="1" x14ac:dyDescent="0.3">
      <c r="F285" s="314"/>
      <c r="G285" s="314"/>
      <c r="I285" s="120"/>
      <c r="P285" s="122"/>
      <c r="Q285" s="122"/>
    </row>
    <row r="286" spans="6:17" ht="14.25" customHeight="1" x14ac:dyDescent="0.3">
      <c r="F286" s="314"/>
      <c r="G286" s="314"/>
      <c r="I286" s="120"/>
      <c r="P286" s="122"/>
      <c r="Q286" s="122"/>
    </row>
    <row r="287" spans="6:17" ht="14.25" customHeight="1" x14ac:dyDescent="0.3">
      <c r="F287" s="314"/>
      <c r="G287" s="314"/>
      <c r="I287" s="120"/>
      <c r="P287" s="122"/>
      <c r="Q287" s="122"/>
    </row>
    <row r="288" spans="6:17" ht="14.25" customHeight="1" x14ac:dyDescent="0.3">
      <c r="F288" s="314"/>
      <c r="G288" s="314"/>
      <c r="I288" s="120"/>
      <c r="P288" s="122"/>
      <c r="Q288" s="122"/>
    </row>
    <row r="289" spans="6:17" ht="14.25" customHeight="1" x14ac:dyDescent="0.3">
      <c r="F289" s="314"/>
      <c r="G289" s="314"/>
      <c r="I289" s="120"/>
      <c r="P289" s="122"/>
      <c r="Q289" s="122"/>
    </row>
    <row r="290" spans="6:17" ht="14.25" customHeight="1" x14ac:dyDescent="0.3">
      <c r="F290" s="314"/>
      <c r="G290" s="314"/>
      <c r="I290" s="120"/>
      <c r="P290" s="122"/>
      <c r="Q290" s="122"/>
    </row>
    <row r="291" spans="6:17" ht="14.25" customHeight="1" x14ac:dyDescent="0.3">
      <c r="F291" s="314"/>
      <c r="G291" s="314"/>
      <c r="I291" s="120"/>
      <c r="P291" s="122"/>
      <c r="Q291" s="122"/>
    </row>
    <row r="292" spans="6:17" ht="14.25" customHeight="1" x14ac:dyDescent="0.3">
      <c r="F292" s="314"/>
      <c r="G292" s="314"/>
      <c r="I292" s="120"/>
      <c r="P292" s="122"/>
      <c r="Q292" s="122"/>
    </row>
    <row r="293" spans="6:17" ht="14.25" customHeight="1" x14ac:dyDescent="0.3">
      <c r="F293" s="314"/>
      <c r="G293" s="314"/>
      <c r="I293" s="120"/>
      <c r="P293" s="122"/>
      <c r="Q293" s="122"/>
    </row>
    <row r="294" spans="6:17" ht="14.25" customHeight="1" x14ac:dyDescent="0.3">
      <c r="F294" s="314"/>
      <c r="G294" s="314"/>
      <c r="I294" s="120"/>
      <c r="P294" s="122"/>
      <c r="Q294" s="122"/>
    </row>
    <row r="295" spans="6:17" ht="14.25" customHeight="1" x14ac:dyDescent="0.3">
      <c r="F295" s="314"/>
      <c r="G295" s="314"/>
      <c r="I295" s="120"/>
      <c r="P295" s="122"/>
      <c r="Q295" s="122"/>
    </row>
    <row r="296" spans="6:17" ht="14.25" customHeight="1" x14ac:dyDescent="0.3">
      <c r="F296" s="314"/>
      <c r="G296" s="314"/>
      <c r="I296" s="120"/>
      <c r="P296" s="122"/>
      <c r="Q296" s="122"/>
    </row>
    <row r="297" spans="6:17" ht="14.25" customHeight="1" x14ac:dyDescent="0.3">
      <c r="F297" s="314"/>
      <c r="G297" s="314"/>
      <c r="I297" s="120"/>
      <c r="P297" s="122"/>
      <c r="Q297" s="122"/>
    </row>
    <row r="298" spans="6:17" ht="14.25" customHeight="1" x14ac:dyDescent="0.3">
      <c r="F298" s="314"/>
      <c r="G298" s="314"/>
      <c r="I298" s="120"/>
      <c r="P298" s="122"/>
      <c r="Q298" s="122"/>
    </row>
    <row r="299" spans="6:17" ht="14.25" customHeight="1" x14ac:dyDescent="0.3">
      <c r="F299" s="314"/>
      <c r="G299" s="314"/>
      <c r="I299" s="120"/>
      <c r="P299" s="122"/>
      <c r="Q299" s="122"/>
    </row>
    <row r="300" spans="6:17" ht="14.25" customHeight="1" x14ac:dyDescent="0.3">
      <c r="F300" s="314"/>
      <c r="G300" s="314"/>
      <c r="I300" s="120"/>
      <c r="P300" s="122"/>
      <c r="Q300" s="122"/>
    </row>
    <row r="301" spans="6:17" ht="14.25" customHeight="1" x14ac:dyDescent="0.3">
      <c r="F301" s="314"/>
      <c r="G301" s="314"/>
      <c r="I301" s="120"/>
      <c r="P301" s="122"/>
      <c r="Q301" s="122"/>
    </row>
    <row r="302" spans="6:17" ht="14.25" customHeight="1" x14ac:dyDescent="0.3">
      <c r="F302" s="314"/>
      <c r="G302" s="314"/>
      <c r="I302" s="120"/>
      <c r="P302" s="122"/>
      <c r="Q302" s="122"/>
    </row>
    <row r="303" spans="6:17" ht="14.25" customHeight="1" x14ac:dyDescent="0.3">
      <c r="F303" s="314"/>
      <c r="G303" s="314"/>
      <c r="I303" s="120"/>
      <c r="P303" s="122"/>
      <c r="Q303" s="122"/>
    </row>
    <row r="304" spans="6:17" ht="14.25" customHeight="1" x14ac:dyDescent="0.3">
      <c r="F304" s="314"/>
      <c r="G304" s="314"/>
      <c r="I304" s="120"/>
      <c r="P304" s="122"/>
      <c r="Q304" s="122"/>
    </row>
    <row r="305" spans="6:17" ht="14.25" customHeight="1" x14ac:dyDescent="0.3">
      <c r="F305" s="314"/>
      <c r="G305" s="314"/>
      <c r="I305" s="120"/>
      <c r="P305" s="122"/>
      <c r="Q305" s="122"/>
    </row>
    <row r="306" spans="6:17" ht="14.25" customHeight="1" x14ac:dyDescent="0.3">
      <c r="F306" s="314"/>
      <c r="G306" s="314"/>
      <c r="I306" s="120"/>
      <c r="P306" s="122"/>
      <c r="Q306" s="122"/>
    </row>
    <row r="307" spans="6:17" ht="14.25" customHeight="1" x14ac:dyDescent="0.3">
      <c r="F307" s="314"/>
      <c r="G307" s="314"/>
      <c r="I307" s="120"/>
      <c r="P307" s="122"/>
      <c r="Q307" s="122"/>
    </row>
    <row r="308" spans="6:17" ht="14.25" customHeight="1" x14ac:dyDescent="0.3">
      <c r="F308" s="314"/>
      <c r="G308" s="314"/>
      <c r="I308" s="120"/>
      <c r="P308" s="122"/>
      <c r="Q308" s="122"/>
    </row>
    <row r="309" spans="6:17" ht="14.25" customHeight="1" x14ac:dyDescent="0.3">
      <c r="F309" s="314"/>
      <c r="G309" s="314"/>
      <c r="I309" s="120"/>
      <c r="P309" s="122"/>
      <c r="Q309" s="122"/>
    </row>
    <row r="310" spans="6:17" ht="14.25" customHeight="1" x14ac:dyDescent="0.3">
      <c r="F310" s="314"/>
      <c r="G310" s="314"/>
      <c r="I310" s="120"/>
      <c r="P310" s="122"/>
      <c r="Q310" s="122"/>
    </row>
    <row r="311" spans="6:17" ht="14.25" customHeight="1" x14ac:dyDescent="0.3">
      <c r="F311" s="314"/>
      <c r="G311" s="314"/>
      <c r="I311" s="120"/>
      <c r="P311" s="122"/>
      <c r="Q311" s="122"/>
    </row>
    <row r="312" spans="6:17" ht="14.25" customHeight="1" x14ac:dyDescent="0.3">
      <c r="F312" s="314"/>
      <c r="G312" s="314"/>
      <c r="I312" s="120"/>
      <c r="P312" s="122"/>
      <c r="Q312" s="122"/>
    </row>
    <row r="313" spans="6:17" ht="14.25" customHeight="1" x14ac:dyDescent="0.3">
      <c r="F313" s="314"/>
      <c r="G313" s="314"/>
      <c r="I313" s="120"/>
      <c r="P313" s="122"/>
      <c r="Q313" s="122"/>
    </row>
    <row r="314" spans="6:17" ht="14.25" customHeight="1" x14ac:dyDescent="0.3">
      <c r="F314" s="314"/>
      <c r="G314" s="314"/>
      <c r="I314" s="120"/>
      <c r="P314" s="122"/>
      <c r="Q314" s="122"/>
    </row>
    <row r="315" spans="6:17" ht="14.25" customHeight="1" x14ac:dyDescent="0.3">
      <c r="F315" s="314"/>
      <c r="G315" s="314"/>
      <c r="I315" s="120"/>
      <c r="P315" s="122"/>
      <c r="Q315" s="122"/>
    </row>
    <row r="316" spans="6:17" ht="14.25" customHeight="1" x14ac:dyDescent="0.3">
      <c r="F316" s="314"/>
      <c r="G316" s="314"/>
      <c r="I316" s="120"/>
      <c r="P316" s="122"/>
      <c r="Q316" s="122"/>
    </row>
    <row r="317" spans="6:17" ht="14.25" customHeight="1" x14ac:dyDescent="0.3">
      <c r="F317" s="314"/>
      <c r="G317" s="314"/>
      <c r="I317" s="120"/>
      <c r="P317" s="122"/>
      <c r="Q317" s="122"/>
    </row>
    <row r="318" spans="6:17" ht="14.25" customHeight="1" x14ac:dyDescent="0.3">
      <c r="F318" s="314"/>
      <c r="G318" s="314"/>
      <c r="I318" s="120"/>
      <c r="P318" s="122"/>
      <c r="Q318" s="122"/>
    </row>
    <row r="319" spans="6:17" ht="14.25" customHeight="1" x14ac:dyDescent="0.3">
      <c r="F319" s="314"/>
      <c r="G319" s="314"/>
      <c r="I319" s="120"/>
      <c r="P319" s="122"/>
      <c r="Q319" s="122"/>
    </row>
    <row r="320" spans="6:17" ht="14.25" customHeight="1" x14ac:dyDescent="0.3">
      <c r="F320" s="314"/>
      <c r="G320" s="314"/>
      <c r="I320" s="120"/>
      <c r="P320" s="122"/>
      <c r="Q320" s="122"/>
    </row>
    <row r="321" spans="6:17" ht="14.25" customHeight="1" x14ac:dyDescent="0.3">
      <c r="F321" s="314"/>
      <c r="G321" s="314"/>
      <c r="I321" s="120"/>
      <c r="P321" s="122"/>
      <c r="Q321" s="122"/>
    </row>
    <row r="322" spans="6:17" ht="14.25" customHeight="1" x14ac:dyDescent="0.3">
      <c r="F322" s="314"/>
      <c r="G322" s="314"/>
      <c r="I322" s="120"/>
      <c r="P322" s="122"/>
      <c r="Q322" s="122"/>
    </row>
    <row r="323" spans="6:17" ht="14.25" customHeight="1" x14ac:dyDescent="0.3">
      <c r="F323" s="314"/>
      <c r="G323" s="314"/>
      <c r="I323" s="120"/>
      <c r="P323" s="122"/>
      <c r="Q323" s="122"/>
    </row>
    <row r="324" spans="6:17" ht="14.25" customHeight="1" x14ac:dyDescent="0.3">
      <c r="F324" s="314"/>
      <c r="G324" s="314"/>
      <c r="I324" s="120"/>
      <c r="P324" s="122"/>
      <c r="Q324" s="122"/>
    </row>
    <row r="325" spans="6:17" ht="14.25" customHeight="1" x14ac:dyDescent="0.3">
      <c r="F325" s="314"/>
      <c r="G325" s="314"/>
      <c r="I325" s="120"/>
      <c r="P325" s="122"/>
      <c r="Q325" s="122"/>
    </row>
    <row r="326" spans="6:17" ht="14.25" customHeight="1" x14ac:dyDescent="0.3">
      <c r="F326" s="314"/>
      <c r="G326" s="314"/>
      <c r="I326" s="120"/>
      <c r="P326" s="122"/>
      <c r="Q326" s="122"/>
    </row>
    <row r="327" spans="6:17" ht="14.25" customHeight="1" x14ac:dyDescent="0.3">
      <c r="F327" s="314"/>
      <c r="G327" s="314"/>
      <c r="I327" s="120"/>
      <c r="P327" s="122"/>
      <c r="Q327" s="122"/>
    </row>
    <row r="328" spans="6:17" ht="14.25" customHeight="1" x14ac:dyDescent="0.3">
      <c r="F328" s="314"/>
      <c r="G328" s="314"/>
      <c r="I328" s="120"/>
      <c r="P328" s="122"/>
      <c r="Q328" s="122"/>
    </row>
    <row r="329" spans="6:17" ht="14.25" customHeight="1" x14ac:dyDescent="0.3">
      <c r="F329" s="314"/>
      <c r="G329" s="314"/>
      <c r="I329" s="120"/>
      <c r="P329" s="122"/>
      <c r="Q329" s="122"/>
    </row>
    <row r="330" spans="6:17" ht="14.25" customHeight="1" x14ac:dyDescent="0.3">
      <c r="F330" s="314"/>
      <c r="G330" s="314"/>
      <c r="I330" s="120"/>
      <c r="P330" s="122"/>
      <c r="Q330" s="122"/>
    </row>
    <row r="331" spans="6:17" ht="14.25" customHeight="1" x14ac:dyDescent="0.3">
      <c r="F331" s="314"/>
      <c r="G331" s="314"/>
      <c r="I331" s="120"/>
      <c r="P331" s="122"/>
      <c r="Q331" s="122"/>
    </row>
    <row r="332" spans="6:17" ht="14.25" customHeight="1" x14ac:dyDescent="0.3">
      <c r="F332" s="314"/>
      <c r="G332" s="314"/>
      <c r="I332" s="120"/>
      <c r="P332" s="122"/>
      <c r="Q332" s="122"/>
    </row>
    <row r="333" spans="6:17" ht="14.25" customHeight="1" x14ac:dyDescent="0.3">
      <c r="F333" s="314"/>
      <c r="G333" s="314"/>
      <c r="I333" s="120"/>
      <c r="P333" s="122"/>
      <c r="Q333" s="122"/>
    </row>
    <row r="334" spans="6:17" ht="14.25" customHeight="1" x14ac:dyDescent="0.3">
      <c r="F334" s="314"/>
      <c r="G334" s="314"/>
      <c r="I334" s="120"/>
      <c r="P334" s="122"/>
      <c r="Q334" s="122"/>
    </row>
    <row r="335" spans="6:17" ht="14.25" customHeight="1" x14ac:dyDescent="0.3">
      <c r="F335" s="314"/>
      <c r="G335" s="314"/>
      <c r="I335" s="120"/>
      <c r="P335" s="122"/>
      <c r="Q335" s="122"/>
    </row>
    <row r="336" spans="6:17" ht="14.25" customHeight="1" x14ac:dyDescent="0.3">
      <c r="F336" s="314"/>
      <c r="G336" s="314"/>
      <c r="I336" s="120"/>
      <c r="P336" s="122"/>
      <c r="Q336" s="122"/>
    </row>
    <row r="337" spans="6:17" ht="14.25" customHeight="1" x14ac:dyDescent="0.3">
      <c r="F337" s="314"/>
      <c r="G337" s="314"/>
      <c r="I337" s="120"/>
      <c r="P337" s="122"/>
      <c r="Q337" s="122"/>
    </row>
    <row r="338" spans="6:17" ht="14.25" customHeight="1" x14ac:dyDescent="0.3">
      <c r="F338" s="314"/>
      <c r="G338" s="314"/>
      <c r="I338" s="120"/>
      <c r="P338" s="122"/>
      <c r="Q338" s="122"/>
    </row>
    <row r="339" spans="6:17" ht="14.25" customHeight="1" x14ac:dyDescent="0.3">
      <c r="F339" s="314"/>
      <c r="G339" s="314"/>
      <c r="I339" s="120"/>
      <c r="P339" s="122"/>
      <c r="Q339" s="122"/>
    </row>
    <row r="340" spans="6:17" ht="14.25" customHeight="1" x14ac:dyDescent="0.3">
      <c r="F340" s="314"/>
      <c r="G340" s="314"/>
      <c r="I340" s="120"/>
      <c r="P340" s="122"/>
      <c r="Q340" s="122"/>
    </row>
    <row r="341" spans="6:17" ht="14.25" customHeight="1" x14ac:dyDescent="0.3">
      <c r="F341" s="314"/>
      <c r="G341" s="314"/>
      <c r="I341" s="120"/>
      <c r="P341" s="122"/>
      <c r="Q341" s="122"/>
    </row>
    <row r="342" spans="6:17" ht="14.25" customHeight="1" x14ac:dyDescent="0.3">
      <c r="F342" s="314"/>
      <c r="G342" s="314"/>
      <c r="I342" s="120"/>
      <c r="P342" s="122"/>
      <c r="Q342" s="122"/>
    </row>
    <row r="343" spans="6:17" ht="14.25" customHeight="1" x14ac:dyDescent="0.3">
      <c r="F343" s="314"/>
      <c r="G343" s="314"/>
      <c r="I343" s="120"/>
      <c r="P343" s="122"/>
      <c r="Q343" s="122"/>
    </row>
    <row r="344" spans="6:17" ht="14.25" customHeight="1" x14ac:dyDescent="0.3">
      <c r="F344" s="314"/>
      <c r="G344" s="314"/>
      <c r="I344" s="120"/>
      <c r="P344" s="122"/>
      <c r="Q344" s="122"/>
    </row>
    <row r="345" spans="6:17" ht="14.25" customHeight="1" x14ac:dyDescent="0.3">
      <c r="F345" s="314"/>
      <c r="G345" s="314"/>
      <c r="I345" s="120"/>
      <c r="P345" s="122"/>
      <c r="Q345" s="122"/>
    </row>
    <row r="346" spans="6:17" ht="14.25" customHeight="1" x14ac:dyDescent="0.3">
      <c r="F346" s="314"/>
      <c r="G346" s="314"/>
      <c r="I346" s="120"/>
      <c r="P346" s="122"/>
      <c r="Q346" s="122"/>
    </row>
    <row r="347" spans="6:17" ht="14.25" customHeight="1" x14ac:dyDescent="0.3">
      <c r="F347" s="314"/>
      <c r="G347" s="314"/>
      <c r="I347" s="120"/>
      <c r="P347" s="122"/>
      <c r="Q347" s="122"/>
    </row>
    <row r="348" spans="6:17" ht="14.25" customHeight="1" x14ac:dyDescent="0.3">
      <c r="F348" s="314"/>
      <c r="G348" s="314"/>
      <c r="I348" s="120"/>
      <c r="P348" s="122"/>
      <c r="Q348" s="122"/>
    </row>
    <row r="349" spans="6:17" ht="14.25" customHeight="1" x14ac:dyDescent="0.3">
      <c r="F349" s="314"/>
      <c r="G349" s="314"/>
      <c r="I349" s="120"/>
      <c r="P349" s="122"/>
      <c r="Q349" s="122"/>
    </row>
    <row r="350" spans="6:17" ht="14.25" customHeight="1" x14ac:dyDescent="0.3">
      <c r="F350" s="314"/>
      <c r="G350" s="314"/>
      <c r="I350" s="120"/>
      <c r="P350" s="122"/>
      <c r="Q350" s="122"/>
    </row>
    <row r="351" spans="6:17" ht="14.25" customHeight="1" x14ac:dyDescent="0.3">
      <c r="F351" s="314"/>
      <c r="G351" s="314"/>
      <c r="I351" s="120"/>
      <c r="P351" s="122"/>
      <c r="Q351" s="122"/>
    </row>
    <row r="352" spans="6:17" ht="14.25" customHeight="1" x14ac:dyDescent="0.3">
      <c r="F352" s="314"/>
      <c r="G352" s="314"/>
      <c r="I352" s="120"/>
      <c r="P352" s="122"/>
      <c r="Q352" s="122"/>
    </row>
    <row r="353" spans="6:17" ht="14.25" customHeight="1" x14ac:dyDescent="0.3">
      <c r="F353" s="314"/>
      <c r="G353" s="314"/>
      <c r="I353" s="120"/>
      <c r="P353" s="122"/>
      <c r="Q353" s="122"/>
    </row>
    <row r="354" spans="6:17" ht="14.25" customHeight="1" x14ac:dyDescent="0.3">
      <c r="F354" s="314"/>
      <c r="G354" s="314"/>
      <c r="I354" s="120"/>
      <c r="P354" s="122"/>
      <c r="Q354" s="122"/>
    </row>
    <row r="355" spans="6:17" ht="14.25" customHeight="1" x14ac:dyDescent="0.3">
      <c r="F355" s="314"/>
      <c r="G355" s="314"/>
      <c r="I355" s="120"/>
      <c r="P355" s="122"/>
      <c r="Q355" s="122"/>
    </row>
    <row r="356" spans="6:17" ht="14.25" customHeight="1" x14ac:dyDescent="0.3">
      <c r="F356" s="314"/>
      <c r="G356" s="314"/>
      <c r="I356" s="120"/>
      <c r="P356" s="122"/>
      <c r="Q356" s="122"/>
    </row>
    <row r="357" spans="6:17" ht="14.25" customHeight="1" x14ac:dyDescent="0.3">
      <c r="F357" s="314"/>
      <c r="G357" s="314"/>
      <c r="I357" s="120"/>
      <c r="P357" s="122"/>
      <c r="Q357" s="122"/>
    </row>
    <row r="358" spans="6:17" ht="14.25" customHeight="1" x14ac:dyDescent="0.3">
      <c r="F358" s="314"/>
      <c r="G358" s="314"/>
      <c r="I358" s="120"/>
      <c r="P358" s="122"/>
      <c r="Q358" s="122"/>
    </row>
    <row r="359" spans="6:17" ht="14.25" customHeight="1" x14ac:dyDescent="0.3">
      <c r="F359" s="314"/>
      <c r="G359" s="314"/>
      <c r="I359" s="120"/>
      <c r="P359" s="122"/>
      <c r="Q359" s="122"/>
    </row>
    <row r="360" spans="6:17" ht="14.25" customHeight="1" x14ac:dyDescent="0.3">
      <c r="F360" s="314"/>
      <c r="G360" s="314"/>
      <c r="I360" s="120"/>
      <c r="P360" s="122"/>
      <c r="Q360" s="122"/>
    </row>
    <row r="361" spans="6:17" ht="14.25" customHeight="1" x14ac:dyDescent="0.3">
      <c r="F361" s="314"/>
      <c r="G361" s="314"/>
      <c r="I361" s="120"/>
      <c r="P361" s="122"/>
      <c r="Q361" s="122"/>
    </row>
    <row r="362" spans="6:17" ht="14.25" customHeight="1" x14ac:dyDescent="0.3">
      <c r="F362" s="314"/>
      <c r="G362" s="314"/>
      <c r="I362" s="120"/>
      <c r="P362" s="122"/>
      <c r="Q362" s="122"/>
    </row>
    <row r="363" spans="6:17" ht="14.25" customHeight="1" x14ac:dyDescent="0.3">
      <c r="F363" s="314"/>
      <c r="G363" s="314"/>
      <c r="I363" s="120"/>
      <c r="P363" s="122"/>
      <c r="Q363" s="122"/>
    </row>
    <row r="364" spans="6:17" ht="14.25" customHeight="1" x14ac:dyDescent="0.3">
      <c r="F364" s="314"/>
      <c r="G364" s="314"/>
      <c r="I364" s="120"/>
      <c r="P364" s="122"/>
      <c r="Q364" s="122"/>
    </row>
    <row r="365" spans="6:17" ht="14.25" customHeight="1" x14ac:dyDescent="0.3">
      <c r="F365" s="314"/>
      <c r="G365" s="314"/>
      <c r="I365" s="120"/>
      <c r="P365" s="122"/>
      <c r="Q365" s="122"/>
    </row>
    <row r="366" spans="6:17" ht="14.25" customHeight="1" x14ac:dyDescent="0.3">
      <c r="F366" s="314"/>
      <c r="G366" s="314"/>
      <c r="I366" s="120"/>
      <c r="P366" s="122"/>
      <c r="Q366" s="122"/>
    </row>
    <row r="367" spans="6:17" ht="14.25" customHeight="1" x14ac:dyDescent="0.3">
      <c r="F367" s="314"/>
      <c r="G367" s="314"/>
      <c r="I367" s="120"/>
      <c r="P367" s="122"/>
      <c r="Q367" s="122"/>
    </row>
    <row r="368" spans="6:17" ht="14.25" customHeight="1" x14ac:dyDescent="0.3">
      <c r="F368" s="314"/>
      <c r="G368" s="314"/>
      <c r="I368" s="120"/>
      <c r="P368" s="122"/>
      <c r="Q368" s="122"/>
    </row>
    <row r="369" spans="6:17" ht="14.25" customHeight="1" x14ac:dyDescent="0.3">
      <c r="F369" s="314"/>
      <c r="G369" s="314"/>
      <c r="I369" s="120"/>
      <c r="P369" s="122"/>
      <c r="Q369" s="122"/>
    </row>
    <row r="370" spans="6:17" ht="14.25" customHeight="1" x14ac:dyDescent="0.3">
      <c r="F370" s="314"/>
      <c r="G370" s="314"/>
      <c r="I370" s="120"/>
      <c r="P370" s="122"/>
      <c r="Q370" s="122"/>
    </row>
    <row r="371" spans="6:17" ht="14.25" customHeight="1" x14ac:dyDescent="0.3">
      <c r="F371" s="314"/>
      <c r="G371" s="314"/>
      <c r="I371" s="120"/>
      <c r="P371" s="122"/>
      <c r="Q371" s="122"/>
    </row>
    <row r="372" spans="6:17" ht="14.25" customHeight="1" x14ac:dyDescent="0.3">
      <c r="F372" s="314"/>
      <c r="G372" s="314"/>
      <c r="I372" s="120"/>
      <c r="P372" s="122"/>
      <c r="Q372" s="122"/>
    </row>
    <row r="373" spans="6:17" ht="14.25" customHeight="1" x14ac:dyDescent="0.3">
      <c r="F373" s="314"/>
      <c r="G373" s="314"/>
      <c r="I373" s="120"/>
      <c r="P373" s="122"/>
      <c r="Q373" s="122"/>
    </row>
    <row r="374" spans="6:17" ht="14.25" customHeight="1" x14ac:dyDescent="0.3">
      <c r="F374" s="314"/>
      <c r="G374" s="314"/>
      <c r="I374" s="120"/>
      <c r="P374" s="122"/>
      <c r="Q374" s="122"/>
    </row>
    <row r="375" spans="6:17" ht="14.25" customHeight="1" x14ac:dyDescent="0.3">
      <c r="F375" s="314"/>
      <c r="G375" s="314"/>
      <c r="I375" s="120"/>
      <c r="P375" s="122"/>
      <c r="Q375" s="122"/>
    </row>
    <row r="376" spans="6:17" ht="14.25" customHeight="1" x14ac:dyDescent="0.3">
      <c r="F376" s="314"/>
      <c r="G376" s="314"/>
      <c r="I376" s="120"/>
      <c r="P376" s="122"/>
      <c r="Q376" s="122"/>
    </row>
    <row r="377" spans="6:17" ht="14.25" customHeight="1" x14ac:dyDescent="0.3">
      <c r="F377" s="314"/>
      <c r="G377" s="314"/>
      <c r="I377" s="120"/>
      <c r="P377" s="122"/>
      <c r="Q377" s="122"/>
    </row>
    <row r="378" spans="6:17" ht="14.25" customHeight="1" x14ac:dyDescent="0.3">
      <c r="F378" s="314"/>
      <c r="G378" s="314"/>
      <c r="I378" s="120"/>
      <c r="P378" s="122"/>
      <c r="Q378" s="122"/>
    </row>
    <row r="379" spans="6:17" ht="14.25" customHeight="1" x14ac:dyDescent="0.3">
      <c r="F379" s="314"/>
      <c r="G379" s="314"/>
      <c r="I379" s="120"/>
      <c r="P379" s="122"/>
      <c r="Q379" s="122"/>
    </row>
    <row r="380" spans="6:17" ht="14.25" customHeight="1" x14ac:dyDescent="0.3">
      <c r="F380" s="314"/>
      <c r="G380" s="314"/>
      <c r="I380" s="120"/>
      <c r="P380" s="122"/>
      <c r="Q380" s="122"/>
    </row>
    <row r="381" spans="6:17" ht="14.25" customHeight="1" x14ac:dyDescent="0.3">
      <c r="F381" s="314"/>
      <c r="G381" s="314"/>
      <c r="I381" s="120"/>
      <c r="P381" s="122"/>
      <c r="Q381" s="122"/>
    </row>
    <row r="382" spans="6:17" ht="14.25" customHeight="1" x14ac:dyDescent="0.3">
      <c r="F382" s="314"/>
      <c r="G382" s="314"/>
      <c r="I382" s="120"/>
      <c r="P382" s="122"/>
      <c r="Q382" s="122"/>
    </row>
    <row r="383" spans="6:17" ht="14.25" customHeight="1" x14ac:dyDescent="0.3">
      <c r="F383" s="314"/>
      <c r="G383" s="314"/>
      <c r="I383" s="120"/>
      <c r="P383" s="122"/>
      <c r="Q383" s="122"/>
    </row>
    <row r="384" spans="6:17" ht="14.25" customHeight="1" x14ac:dyDescent="0.3">
      <c r="F384" s="314"/>
      <c r="G384" s="314"/>
      <c r="I384" s="120"/>
      <c r="P384" s="122"/>
      <c r="Q384" s="122"/>
    </row>
    <row r="385" spans="6:17" ht="14.25" customHeight="1" x14ac:dyDescent="0.3">
      <c r="F385" s="314"/>
      <c r="G385" s="314"/>
      <c r="I385" s="120"/>
      <c r="P385" s="122"/>
      <c r="Q385" s="122"/>
    </row>
    <row r="386" spans="6:17" ht="14.25" customHeight="1" x14ac:dyDescent="0.3">
      <c r="F386" s="314"/>
      <c r="G386" s="314"/>
      <c r="I386" s="120"/>
      <c r="P386" s="122"/>
      <c r="Q386" s="122"/>
    </row>
    <row r="387" spans="6:17" ht="14.25" customHeight="1" x14ac:dyDescent="0.3">
      <c r="F387" s="314"/>
      <c r="G387" s="314"/>
      <c r="I387" s="120"/>
      <c r="P387" s="122"/>
      <c r="Q387" s="122"/>
    </row>
    <row r="388" spans="6:17" ht="14.25" customHeight="1" x14ac:dyDescent="0.3">
      <c r="F388" s="314"/>
      <c r="G388" s="314"/>
      <c r="I388" s="120"/>
      <c r="P388" s="122"/>
      <c r="Q388" s="122"/>
    </row>
    <row r="389" spans="6:17" ht="14.25" customHeight="1" x14ac:dyDescent="0.3">
      <c r="F389" s="314"/>
      <c r="G389" s="314"/>
      <c r="I389" s="120"/>
      <c r="P389" s="122"/>
      <c r="Q389" s="122"/>
    </row>
    <row r="390" spans="6:17" ht="14.25" customHeight="1" x14ac:dyDescent="0.3">
      <c r="F390" s="314"/>
      <c r="G390" s="314"/>
      <c r="I390" s="120"/>
      <c r="P390" s="122"/>
      <c r="Q390" s="122"/>
    </row>
    <row r="391" spans="6:17" ht="14.25" customHeight="1" x14ac:dyDescent="0.3">
      <c r="F391" s="314"/>
      <c r="G391" s="314"/>
      <c r="I391" s="120"/>
      <c r="P391" s="122"/>
      <c r="Q391" s="122"/>
    </row>
    <row r="392" spans="6:17" ht="14.25" customHeight="1" x14ac:dyDescent="0.3">
      <c r="F392" s="314"/>
      <c r="G392" s="314"/>
      <c r="I392" s="120"/>
      <c r="P392" s="122"/>
      <c r="Q392" s="122"/>
    </row>
    <row r="393" spans="6:17" ht="14.25" customHeight="1" x14ac:dyDescent="0.3">
      <c r="F393" s="314"/>
      <c r="G393" s="314"/>
      <c r="I393" s="120"/>
      <c r="P393" s="122"/>
      <c r="Q393" s="122"/>
    </row>
    <row r="394" spans="6:17" ht="14.25" customHeight="1" x14ac:dyDescent="0.3">
      <c r="F394" s="314"/>
      <c r="G394" s="314"/>
      <c r="I394" s="120"/>
      <c r="P394" s="122"/>
      <c r="Q394" s="122"/>
    </row>
    <row r="395" spans="6:17" ht="14.25" customHeight="1" x14ac:dyDescent="0.3">
      <c r="F395" s="314"/>
      <c r="G395" s="314"/>
      <c r="I395" s="120"/>
      <c r="P395" s="122"/>
      <c r="Q395" s="122"/>
    </row>
    <row r="396" spans="6:17" ht="14.25" customHeight="1" x14ac:dyDescent="0.3">
      <c r="F396" s="314"/>
      <c r="G396" s="314"/>
      <c r="I396" s="120"/>
      <c r="P396" s="122"/>
      <c r="Q396" s="122"/>
    </row>
    <row r="397" spans="6:17" ht="14.25" customHeight="1" x14ac:dyDescent="0.3">
      <c r="F397" s="314"/>
      <c r="G397" s="314"/>
      <c r="I397" s="120"/>
      <c r="P397" s="122"/>
      <c r="Q397" s="122"/>
    </row>
    <row r="398" spans="6:17" ht="14.25" customHeight="1" x14ac:dyDescent="0.3">
      <c r="F398" s="314"/>
      <c r="G398" s="314"/>
      <c r="I398" s="120"/>
      <c r="P398" s="122"/>
      <c r="Q398" s="122"/>
    </row>
    <row r="399" spans="6:17" ht="14.25" customHeight="1" x14ac:dyDescent="0.3">
      <c r="F399" s="314"/>
      <c r="G399" s="314"/>
      <c r="I399" s="120"/>
      <c r="P399" s="122"/>
      <c r="Q399" s="122"/>
    </row>
    <row r="400" spans="6:17" ht="14.25" customHeight="1" x14ac:dyDescent="0.3">
      <c r="F400" s="314"/>
      <c r="G400" s="314"/>
      <c r="I400" s="120"/>
      <c r="P400" s="122"/>
      <c r="Q400" s="122"/>
    </row>
    <row r="401" spans="6:17" ht="14.25" customHeight="1" x14ac:dyDescent="0.3">
      <c r="F401" s="314"/>
      <c r="G401" s="314"/>
      <c r="I401" s="120"/>
      <c r="P401" s="122"/>
      <c r="Q401" s="122"/>
    </row>
    <row r="402" spans="6:17" ht="14.25" customHeight="1" x14ac:dyDescent="0.3">
      <c r="F402" s="314"/>
      <c r="G402" s="314"/>
      <c r="I402" s="120"/>
      <c r="P402" s="122"/>
      <c r="Q402" s="122"/>
    </row>
    <row r="403" spans="6:17" ht="14.25" customHeight="1" x14ac:dyDescent="0.3">
      <c r="F403" s="314"/>
      <c r="G403" s="314"/>
      <c r="I403" s="120"/>
      <c r="P403" s="122"/>
      <c r="Q403" s="122"/>
    </row>
    <row r="404" spans="6:17" ht="14.25" customHeight="1" x14ac:dyDescent="0.3">
      <c r="F404" s="314"/>
      <c r="G404" s="314"/>
      <c r="I404" s="120"/>
      <c r="P404" s="122"/>
      <c r="Q404" s="122"/>
    </row>
    <row r="405" spans="6:17" ht="14.25" customHeight="1" x14ac:dyDescent="0.3">
      <c r="F405" s="314"/>
      <c r="G405" s="314"/>
      <c r="I405" s="120"/>
      <c r="P405" s="122"/>
      <c r="Q405" s="122"/>
    </row>
    <row r="406" spans="6:17" ht="14.25" customHeight="1" x14ac:dyDescent="0.3">
      <c r="F406" s="314"/>
      <c r="G406" s="314"/>
      <c r="I406" s="120"/>
      <c r="P406" s="122"/>
      <c r="Q406" s="122"/>
    </row>
    <row r="407" spans="6:17" ht="14.25" customHeight="1" x14ac:dyDescent="0.3">
      <c r="F407" s="314"/>
      <c r="G407" s="314"/>
      <c r="I407" s="120"/>
      <c r="P407" s="122"/>
      <c r="Q407" s="122"/>
    </row>
    <row r="408" spans="6:17" ht="14.25" customHeight="1" x14ac:dyDescent="0.3">
      <c r="F408" s="314"/>
      <c r="G408" s="314"/>
      <c r="I408" s="120"/>
      <c r="P408" s="122"/>
      <c r="Q408" s="122"/>
    </row>
    <row r="409" spans="6:17" ht="14.25" customHeight="1" x14ac:dyDescent="0.3">
      <c r="F409" s="314"/>
      <c r="G409" s="314"/>
      <c r="I409" s="120"/>
      <c r="P409" s="122"/>
      <c r="Q409" s="122"/>
    </row>
    <row r="410" spans="6:17" ht="14.25" customHeight="1" x14ac:dyDescent="0.3">
      <c r="F410" s="314"/>
      <c r="G410" s="314"/>
      <c r="I410" s="120"/>
      <c r="P410" s="122"/>
      <c r="Q410" s="122"/>
    </row>
    <row r="411" spans="6:17" ht="14.25" customHeight="1" x14ac:dyDescent="0.3">
      <c r="F411" s="314"/>
      <c r="G411" s="314"/>
      <c r="I411" s="120"/>
      <c r="P411" s="122"/>
      <c r="Q411" s="122"/>
    </row>
    <row r="412" spans="6:17" ht="14.25" customHeight="1" x14ac:dyDescent="0.3">
      <c r="F412" s="314"/>
      <c r="G412" s="314"/>
      <c r="I412" s="120"/>
      <c r="P412" s="122"/>
      <c r="Q412" s="122"/>
    </row>
    <row r="413" spans="6:17" ht="14.25" customHeight="1" x14ac:dyDescent="0.3">
      <c r="F413" s="314"/>
      <c r="G413" s="314"/>
      <c r="I413" s="120"/>
      <c r="P413" s="122"/>
      <c r="Q413" s="122"/>
    </row>
    <row r="414" spans="6:17" ht="14.25" customHeight="1" x14ac:dyDescent="0.3">
      <c r="F414" s="314"/>
      <c r="G414" s="314"/>
      <c r="I414" s="120"/>
      <c r="P414" s="122"/>
      <c r="Q414" s="122"/>
    </row>
    <row r="415" spans="6:17" ht="14.25" customHeight="1" x14ac:dyDescent="0.3">
      <c r="F415" s="314"/>
      <c r="G415" s="314"/>
      <c r="I415" s="120"/>
      <c r="P415" s="122"/>
      <c r="Q415" s="122"/>
    </row>
    <row r="416" spans="6:17" ht="14.25" customHeight="1" x14ac:dyDescent="0.3">
      <c r="F416" s="314"/>
      <c r="G416" s="314"/>
      <c r="I416" s="120"/>
      <c r="P416" s="122"/>
      <c r="Q416" s="122"/>
    </row>
    <row r="417" spans="6:17" ht="14.25" customHeight="1" x14ac:dyDescent="0.3">
      <c r="F417" s="314"/>
      <c r="G417" s="314"/>
      <c r="I417" s="120"/>
      <c r="P417" s="122"/>
      <c r="Q417" s="122"/>
    </row>
    <row r="418" spans="6:17" ht="14.25" customHeight="1" x14ac:dyDescent="0.3">
      <c r="F418" s="314"/>
      <c r="G418" s="314"/>
      <c r="I418" s="120"/>
      <c r="P418" s="122"/>
      <c r="Q418" s="122"/>
    </row>
    <row r="419" spans="6:17" ht="14.25" customHeight="1" x14ac:dyDescent="0.3">
      <c r="F419" s="314"/>
      <c r="G419" s="314"/>
      <c r="I419" s="120"/>
      <c r="P419" s="122"/>
      <c r="Q419" s="122"/>
    </row>
    <row r="420" spans="6:17" ht="14.25" customHeight="1" x14ac:dyDescent="0.3">
      <c r="F420" s="314"/>
      <c r="G420" s="314"/>
      <c r="I420" s="120"/>
      <c r="P420" s="122"/>
      <c r="Q420" s="122"/>
    </row>
    <row r="421" spans="6:17" ht="14.25" customHeight="1" x14ac:dyDescent="0.3">
      <c r="F421" s="314"/>
      <c r="G421" s="314"/>
      <c r="I421" s="120"/>
      <c r="P421" s="122"/>
      <c r="Q421" s="122"/>
    </row>
    <row r="422" spans="6:17" ht="14.25" customHeight="1" x14ac:dyDescent="0.3">
      <c r="F422" s="314"/>
      <c r="G422" s="314"/>
      <c r="I422" s="120"/>
      <c r="P422" s="122"/>
      <c r="Q422" s="122"/>
    </row>
    <row r="423" spans="6:17" ht="14.25" customHeight="1" x14ac:dyDescent="0.3">
      <c r="F423" s="314"/>
      <c r="G423" s="314"/>
      <c r="I423" s="120"/>
      <c r="P423" s="122"/>
      <c r="Q423" s="122"/>
    </row>
    <row r="424" spans="6:17" ht="14.25" customHeight="1" x14ac:dyDescent="0.3">
      <c r="F424" s="314"/>
      <c r="G424" s="314"/>
      <c r="I424" s="120"/>
      <c r="P424" s="122"/>
      <c r="Q424" s="122"/>
    </row>
    <row r="425" spans="6:17" ht="14.25" customHeight="1" x14ac:dyDescent="0.3">
      <c r="F425" s="314"/>
      <c r="G425" s="314"/>
      <c r="I425" s="120"/>
      <c r="P425" s="122"/>
      <c r="Q425" s="122"/>
    </row>
    <row r="426" spans="6:17" ht="14.25" customHeight="1" x14ac:dyDescent="0.3">
      <c r="F426" s="314"/>
      <c r="G426" s="314"/>
      <c r="I426" s="120"/>
      <c r="P426" s="122"/>
      <c r="Q426" s="122"/>
    </row>
    <row r="427" spans="6:17" ht="14.25" customHeight="1" x14ac:dyDescent="0.3">
      <c r="F427" s="314"/>
      <c r="G427" s="314"/>
      <c r="I427" s="120"/>
      <c r="P427" s="122"/>
      <c r="Q427" s="122"/>
    </row>
    <row r="428" spans="6:17" ht="14.25" customHeight="1" x14ac:dyDescent="0.3">
      <c r="F428" s="314"/>
      <c r="G428" s="314"/>
      <c r="I428" s="120"/>
      <c r="P428" s="122"/>
      <c r="Q428" s="122"/>
    </row>
    <row r="429" spans="6:17" ht="14.25" customHeight="1" x14ac:dyDescent="0.3">
      <c r="F429" s="314"/>
      <c r="G429" s="314"/>
      <c r="I429" s="120"/>
      <c r="P429" s="122"/>
      <c r="Q429" s="122"/>
    </row>
    <row r="430" spans="6:17" ht="14.25" customHeight="1" x14ac:dyDescent="0.3">
      <c r="F430" s="314"/>
      <c r="G430" s="314"/>
      <c r="I430" s="120"/>
      <c r="P430" s="122"/>
      <c r="Q430" s="122"/>
    </row>
    <row r="431" spans="6:17" ht="14.25" customHeight="1" x14ac:dyDescent="0.3">
      <c r="F431" s="314"/>
      <c r="G431" s="314"/>
      <c r="I431" s="120"/>
      <c r="P431" s="122"/>
      <c r="Q431" s="122"/>
    </row>
    <row r="432" spans="6:17" ht="14.25" customHeight="1" x14ac:dyDescent="0.3">
      <c r="F432" s="314"/>
      <c r="G432" s="314"/>
      <c r="I432" s="120"/>
      <c r="P432" s="122"/>
      <c r="Q432" s="122"/>
    </row>
    <row r="433" spans="6:17" ht="14.25" customHeight="1" x14ac:dyDescent="0.3">
      <c r="F433" s="314"/>
      <c r="G433" s="314"/>
      <c r="I433" s="120"/>
      <c r="P433" s="122"/>
      <c r="Q433" s="122"/>
    </row>
    <row r="434" spans="6:17" ht="14.25" customHeight="1" x14ac:dyDescent="0.3">
      <c r="F434" s="314"/>
      <c r="G434" s="314"/>
      <c r="I434" s="120"/>
      <c r="P434" s="122"/>
      <c r="Q434" s="122"/>
    </row>
    <row r="435" spans="6:17" ht="14.25" customHeight="1" x14ac:dyDescent="0.3">
      <c r="F435" s="314"/>
      <c r="G435" s="314"/>
      <c r="I435" s="120"/>
      <c r="P435" s="122"/>
      <c r="Q435" s="122"/>
    </row>
    <row r="436" spans="6:17" ht="14.25" customHeight="1" x14ac:dyDescent="0.3">
      <c r="F436" s="314"/>
      <c r="G436" s="314"/>
      <c r="I436" s="120"/>
      <c r="P436" s="122"/>
      <c r="Q436" s="122"/>
    </row>
    <row r="437" spans="6:17" ht="14.25" customHeight="1" x14ac:dyDescent="0.3">
      <c r="F437" s="314"/>
      <c r="G437" s="314"/>
      <c r="I437" s="120"/>
      <c r="P437" s="122"/>
      <c r="Q437" s="122"/>
    </row>
    <row r="438" spans="6:17" ht="14.25" customHeight="1" x14ac:dyDescent="0.3">
      <c r="F438" s="314"/>
      <c r="G438" s="314"/>
      <c r="I438" s="120"/>
      <c r="P438" s="122"/>
      <c r="Q438" s="122"/>
    </row>
    <row r="439" spans="6:17" ht="14.25" customHeight="1" x14ac:dyDescent="0.3">
      <c r="F439" s="314"/>
      <c r="G439" s="314"/>
      <c r="I439" s="120"/>
      <c r="P439" s="122"/>
      <c r="Q439" s="122"/>
    </row>
    <row r="440" spans="6:17" ht="14.25" customHeight="1" x14ac:dyDescent="0.3">
      <c r="F440" s="314"/>
      <c r="G440" s="314"/>
      <c r="I440" s="120"/>
      <c r="P440" s="122"/>
      <c r="Q440" s="122"/>
    </row>
    <row r="441" spans="6:17" ht="14.25" customHeight="1" x14ac:dyDescent="0.3">
      <c r="F441" s="314"/>
      <c r="G441" s="314"/>
      <c r="I441" s="120"/>
      <c r="P441" s="122"/>
      <c r="Q441" s="122"/>
    </row>
    <row r="442" spans="6:17" ht="14.25" customHeight="1" x14ac:dyDescent="0.3">
      <c r="F442" s="314"/>
      <c r="G442" s="314"/>
      <c r="I442" s="120"/>
      <c r="P442" s="122"/>
      <c r="Q442" s="122"/>
    </row>
    <row r="443" spans="6:17" ht="14.25" customHeight="1" x14ac:dyDescent="0.3">
      <c r="F443" s="314"/>
      <c r="G443" s="314"/>
      <c r="I443" s="120"/>
      <c r="P443" s="122"/>
      <c r="Q443" s="122"/>
    </row>
    <row r="444" spans="6:17" ht="14.25" customHeight="1" x14ac:dyDescent="0.3">
      <c r="F444" s="314"/>
      <c r="G444" s="314"/>
      <c r="I444" s="120"/>
      <c r="P444" s="122"/>
      <c r="Q444" s="122"/>
    </row>
    <row r="445" spans="6:17" ht="14.25" customHeight="1" x14ac:dyDescent="0.3">
      <c r="F445" s="314"/>
      <c r="G445" s="314"/>
      <c r="I445" s="120"/>
      <c r="P445" s="122"/>
      <c r="Q445" s="122"/>
    </row>
    <row r="446" spans="6:17" ht="14.25" customHeight="1" x14ac:dyDescent="0.3">
      <c r="F446" s="314"/>
      <c r="G446" s="314"/>
      <c r="I446" s="120"/>
      <c r="P446" s="122"/>
      <c r="Q446" s="122"/>
    </row>
    <row r="447" spans="6:17" ht="14.25" customHeight="1" x14ac:dyDescent="0.3">
      <c r="F447" s="314"/>
      <c r="G447" s="314"/>
      <c r="I447" s="120"/>
      <c r="P447" s="122"/>
      <c r="Q447" s="122"/>
    </row>
    <row r="448" spans="6:17" ht="14.25" customHeight="1" x14ac:dyDescent="0.3">
      <c r="F448" s="314"/>
      <c r="G448" s="314"/>
      <c r="I448" s="120"/>
      <c r="P448" s="122"/>
      <c r="Q448" s="122"/>
    </row>
    <row r="449" spans="6:17" ht="14.25" customHeight="1" x14ac:dyDescent="0.3">
      <c r="F449" s="314"/>
      <c r="G449" s="314"/>
      <c r="I449" s="120"/>
      <c r="P449" s="122"/>
      <c r="Q449" s="122"/>
    </row>
    <row r="450" spans="6:17" ht="14.25" customHeight="1" x14ac:dyDescent="0.3">
      <c r="F450" s="314"/>
      <c r="G450" s="314"/>
      <c r="I450" s="120"/>
      <c r="P450" s="122"/>
      <c r="Q450" s="122"/>
    </row>
    <row r="451" spans="6:17" ht="14.25" customHeight="1" x14ac:dyDescent="0.3">
      <c r="F451" s="314"/>
      <c r="G451" s="314"/>
      <c r="I451" s="120"/>
      <c r="P451" s="122"/>
      <c r="Q451" s="122"/>
    </row>
    <row r="452" spans="6:17" ht="14.25" customHeight="1" x14ac:dyDescent="0.3">
      <c r="F452" s="314"/>
      <c r="G452" s="314"/>
      <c r="I452" s="120"/>
      <c r="P452" s="122"/>
      <c r="Q452" s="122"/>
    </row>
    <row r="453" spans="6:17" ht="14.25" customHeight="1" x14ac:dyDescent="0.3">
      <c r="F453" s="314"/>
      <c r="G453" s="314"/>
      <c r="I453" s="120"/>
      <c r="P453" s="122"/>
      <c r="Q453" s="122"/>
    </row>
    <row r="454" spans="6:17" ht="14.25" customHeight="1" x14ac:dyDescent="0.3">
      <c r="F454" s="314"/>
      <c r="G454" s="314"/>
      <c r="I454" s="120"/>
      <c r="P454" s="122"/>
      <c r="Q454" s="122"/>
    </row>
    <row r="455" spans="6:17" ht="14.25" customHeight="1" x14ac:dyDescent="0.3">
      <c r="F455" s="314"/>
      <c r="G455" s="314"/>
      <c r="I455" s="120"/>
      <c r="P455" s="122"/>
      <c r="Q455" s="122"/>
    </row>
    <row r="456" spans="6:17" ht="14.25" customHeight="1" x14ac:dyDescent="0.3">
      <c r="F456" s="314"/>
      <c r="G456" s="314"/>
      <c r="I456" s="120"/>
      <c r="P456" s="122"/>
      <c r="Q456" s="122"/>
    </row>
    <row r="457" spans="6:17" ht="14.25" customHeight="1" x14ac:dyDescent="0.3">
      <c r="F457" s="314"/>
      <c r="G457" s="314"/>
      <c r="I457" s="120"/>
      <c r="P457" s="122"/>
      <c r="Q457" s="122"/>
    </row>
    <row r="458" spans="6:17" ht="14.25" customHeight="1" x14ac:dyDescent="0.3">
      <c r="F458" s="314"/>
      <c r="G458" s="314"/>
      <c r="I458" s="120"/>
      <c r="P458" s="122"/>
      <c r="Q458" s="122"/>
    </row>
    <row r="459" spans="6:17" ht="14.25" customHeight="1" x14ac:dyDescent="0.3">
      <c r="F459" s="314"/>
      <c r="G459" s="314"/>
      <c r="I459" s="120"/>
      <c r="P459" s="122"/>
      <c r="Q459" s="122"/>
    </row>
    <row r="460" spans="6:17" ht="14.25" customHeight="1" x14ac:dyDescent="0.3">
      <c r="F460" s="314"/>
      <c r="G460" s="314"/>
      <c r="I460" s="120"/>
      <c r="P460" s="122"/>
      <c r="Q460" s="122"/>
    </row>
    <row r="461" spans="6:17" ht="14.25" customHeight="1" x14ac:dyDescent="0.3">
      <c r="F461" s="314"/>
      <c r="G461" s="314"/>
      <c r="I461" s="120"/>
      <c r="P461" s="122"/>
      <c r="Q461" s="122"/>
    </row>
    <row r="462" spans="6:17" ht="14.25" customHeight="1" x14ac:dyDescent="0.3">
      <c r="F462" s="314"/>
      <c r="G462" s="314"/>
      <c r="I462" s="120"/>
      <c r="P462" s="122"/>
      <c r="Q462" s="122"/>
    </row>
    <row r="463" spans="6:17" ht="14.25" customHeight="1" x14ac:dyDescent="0.3">
      <c r="F463" s="314"/>
      <c r="G463" s="314"/>
      <c r="I463" s="120"/>
      <c r="P463" s="122"/>
      <c r="Q463" s="122"/>
    </row>
    <row r="464" spans="6:17" ht="14.25" customHeight="1" x14ac:dyDescent="0.3">
      <c r="F464" s="314"/>
      <c r="G464" s="314"/>
      <c r="I464" s="120"/>
      <c r="P464" s="122"/>
      <c r="Q464" s="122"/>
    </row>
    <row r="465" spans="6:17" ht="14.25" customHeight="1" x14ac:dyDescent="0.3">
      <c r="F465" s="314"/>
      <c r="G465" s="314"/>
      <c r="I465" s="120"/>
      <c r="P465" s="122"/>
      <c r="Q465" s="122"/>
    </row>
    <row r="466" spans="6:17" ht="14.25" customHeight="1" x14ac:dyDescent="0.3">
      <c r="F466" s="314"/>
      <c r="G466" s="314"/>
      <c r="I466" s="120"/>
      <c r="P466" s="122"/>
      <c r="Q466" s="122"/>
    </row>
    <row r="467" spans="6:17" ht="14.25" customHeight="1" x14ac:dyDescent="0.3">
      <c r="F467" s="314"/>
      <c r="G467" s="314"/>
      <c r="I467" s="120"/>
      <c r="P467" s="122"/>
      <c r="Q467" s="122"/>
    </row>
    <row r="468" spans="6:17" ht="14.25" customHeight="1" x14ac:dyDescent="0.3">
      <c r="F468" s="314"/>
      <c r="G468" s="314"/>
      <c r="I468" s="120"/>
      <c r="P468" s="122"/>
      <c r="Q468" s="122"/>
    </row>
    <row r="469" spans="6:17" ht="14.25" customHeight="1" x14ac:dyDescent="0.3">
      <c r="F469" s="314"/>
      <c r="G469" s="314"/>
      <c r="I469" s="120"/>
      <c r="P469" s="122"/>
      <c r="Q469" s="122"/>
    </row>
    <row r="470" spans="6:17" ht="14.25" customHeight="1" x14ac:dyDescent="0.3">
      <c r="F470" s="314"/>
      <c r="G470" s="314"/>
      <c r="I470" s="120"/>
      <c r="P470" s="122"/>
      <c r="Q470" s="122"/>
    </row>
    <row r="471" spans="6:17" ht="14.25" customHeight="1" x14ac:dyDescent="0.3">
      <c r="F471" s="314"/>
      <c r="G471" s="314"/>
      <c r="I471" s="120"/>
      <c r="P471" s="122"/>
      <c r="Q471" s="122"/>
    </row>
    <row r="472" spans="6:17" ht="14.25" customHeight="1" x14ac:dyDescent="0.3">
      <c r="F472" s="314"/>
      <c r="G472" s="314"/>
      <c r="I472" s="120"/>
      <c r="P472" s="122"/>
      <c r="Q472" s="122"/>
    </row>
    <row r="473" spans="6:17" ht="14.25" customHeight="1" x14ac:dyDescent="0.3">
      <c r="F473" s="314"/>
      <c r="G473" s="314"/>
      <c r="I473" s="120"/>
      <c r="P473" s="122"/>
      <c r="Q473" s="122"/>
    </row>
    <row r="474" spans="6:17" ht="14.25" customHeight="1" x14ac:dyDescent="0.3">
      <c r="F474" s="314"/>
      <c r="G474" s="314"/>
      <c r="I474" s="120"/>
      <c r="P474" s="122"/>
      <c r="Q474" s="122"/>
    </row>
    <row r="475" spans="6:17" ht="14.25" customHeight="1" x14ac:dyDescent="0.3">
      <c r="F475" s="314"/>
      <c r="G475" s="314"/>
      <c r="I475" s="120"/>
      <c r="P475" s="122"/>
      <c r="Q475" s="122"/>
    </row>
    <row r="476" spans="6:17" ht="14.25" customHeight="1" x14ac:dyDescent="0.3">
      <c r="F476" s="314"/>
      <c r="G476" s="314"/>
      <c r="I476" s="120"/>
      <c r="P476" s="122"/>
      <c r="Q476" s="122"/>
    </row>
    <row r="477" spans="6:17" ht="14.25" customHeight="1" x14ac:dyDescent="0.3">
      <c r="F477" s="314"/>
      <c r="G477" s="314"/>
      <c r="I477" s="120"/>
      <c r="P477" s="122"/>
      <c r="Q477" s="122"/>
    </row>
    <row r="478" spans="6:17" ht="14.25" customHeight="1" x14ac:dyDescent="0.3">
      <c r="F478" s="314"/>
      <c r="G478" s="314"/>
      <c r="I478" s="120"/>
      <c r="P478" s="122"/>
      <c r="Q478" s="122"/>
    </row>
    <row r="479" spans="6:17" ht="14.25" customHeight="1" x14ac:dyDescent="0.3">
      <c r="F479" s="314"/>
      <c r="G479" s="314"/>
      <c r="I479" s="120"/>
      <c r="P479" s="122"/>
      <c r="Q479" s="122"/>
    </row>
    <row r="480" spans="6:17" ht="14.25" customHeight="1" x14ac:dyDescent="0.3">
      <c r="F480" s="314"/>
      <c r="G480" s="314"/>
      <c r="I480" s="120"/>
      <c r="P480" s="122"/>
      <c r="Q480" s="122"/>
    </row>
    <row r="481" spans="6:17" ht="14.25" customHeight="1" x14ac:dyDescent="0.3">
      <c r="F481" s="314"/>
      <c r="G481" s="314"/>
      <c r="I481" s="120"/>
      <c r="P481" s="122"/>
      <c r="Q481" s="122"/>
    </row>
    <row r="482" spans="6:17" ht="14.25" customHeight="1" x14ac:dyDescent="0.3">
      <c r="F482" s="314"/>
      <c r="G482" s="314"/>
      <c r="I482" s="120"/>
      <c r="P482" s="122"/>
      <c r="Q482" s="122"/>
    </row>
    <row r="483" spans="6:17" ht="14.25" customHeight="1" x14ac:dyDescent="0.3">
      <c r="F483" s="314"/>
      <c r="G483" s="314"/>
      <c r="I483" s="120"/>
      <c r="P483" s="122"/>
      <c r="Q483" s="122"/>
    </row>
    <row r="484" spans="6:17" ht="14.25" customHeight="1" x14ac:dyDescent="0.3">
      <c r="F484" s="314"/>
      <c r="G484" s="314"/>
      <c r="I484" s="120"/>
      <c r="P484" s="122"/>
      <c r="Q484" s="122"/>
    </row>
    <row r="485" spans="6:17" ht="14.25" customHeight="1" x14ac:dyDescent="0.3">
      <c r="F485" s="314"/>
      <c r="G485" s="314"/>
      <c r="I485" s="120"/>
      <c r="P485" s="122"/>
      <c r="Q485" s="122"/>
    </row>
    <row r="486" spans="6:17" ht="14.25" customHeight="1" x14ac:dyDescent="0.3">
      <c r="F486" s="314"/>
      <c r="G486" s="314"/>
      <c r="I486" s="120"/>
      <c r="P486" s="122"/>
      <c r="Q486" s="122"/>
    </row>
    <row r="487" spans="6:17" ht="14.25" customHeight="1" x14ac:dyDescent="0.3">
      <c r="F487" s="314"/>
      <c r="G487" s="314"/>
      <c r="I487" s="120"/>
      <c r="P487" s="122"/>
      <c r="Q487" s="122"/>
    </row>
    <row r="488" spans="6:17" ht="14.25" customHeight="1" x14ac:dyDescent="0.3">
      <c r="F488" s="314"/>
      <c r="G488" s="314"/>
      <c r="I488" s="120"/>
      <c r="P488" s="122"/>
      <c r="Q488" s="122"/>
    </row>
    <row r="489" spans="6:17" ht="14.25" customHeight="1" x14ac:dyDescent="0.3">
      <c r="F489" s="314"/>
      <c r="G489" s="314"/>
      <c r="I489" s="120"/>
      <c r="P489" s="122"/>
      <c r="Q489" s="122"/>
    </row>
    <row r="490" spans="6:17" ht="14.25" customHeight="1" x14ac:dyDescent="0.3">
      <c r="F490" s="314"/>
      <c r="G490" s="314"/>
      <c r="I490" s="120"/>
      <c r="P490" s="122"/>
      <c r="Q490" s="122"/>
    </row>
    <row r="491" spans="6:17" ht="14.25" customHeight="1" x14ac:dyDescent="0.3">
      <c r="F491" s="314"/>
      <c r="G491" s="314"/>
      <c r="I491" s="120"/>
      <c r="P491" s="122"/>
      <c r="Q491" s="122"/>
    </row>
    <row r="492" spans="6:17" ht="14.25" customHeight="1" x14ac:dyDescent="0.3">
      <c r="F492" s="314"/>
      <c r="G492" s="314"/>
      <c r="I492" s="120"/>
      <c r="P492" s="122"/>
      <c r="Q492" s="122"/>
    </row>
    <row r="493" spans="6:17" ht="14.25" customHeight="1" x14ac:dyDescent="0.3">
      <c r="F493" s="314"/>
      <c r="G493" s="314"/>
      <c r="I493" s="120"/>
      <c r="P493" s="122"/>
      <c r="Q493" s="122"/>
    </row>
    <row r="494" spans="6:17" ht="14.25" customHeight="1" x14ac:dyDescent="0.3">
      <c r="F494" s="314"/>
      <c r="G494" s="314"/>
      <c r="I494" s="120"/>
      <c r="P494" s="122"/>
      <c r="Q494" s="122"/>
    </row>
    <row r="495" spans="6:17" ht="14.25" customHeight="1" x14ac:dyDescent="0.3">
      <c r="F495" s="314"/>
      <c r="G495" s="314"/>
      <c r="I495" s="120"/>
      <c r="P495" s="122"/>
      <c r="Q495" s="122"/>
    </row>
    <row r="496" spans="6:17" ht="14.25" customHeight="1" x14ac:dyDescent="0.3">
      <c r="F496" s="314"/>
      <c r="G496" s="314"/>
      <c r="I496" s="120"/>
      <c r="P496" s="122"/>
      <c r="Q496" s="122"/>
    </row>
    <row r="497" spans="6:17" ht="14.25" customHeight="1" x14ac:dyDescent="0.3">
      <c r="F497" s="314"/>
      <c r="G497" s="314"/>
      <c r="I497" s="120"/>
      <c r="P497" s="122"/>
      <c r="Q497" s="122"/>
    </row>
    <row r="498" spans="6:17" ht="14.25" customHeight="1" x14ac:dyDescent="0.3">
      <c r="F498" s="314"/>
      <c r="G498" s="314"/>
      <c r="I498" s="120"/>
      <c r="P498" s="122"/>
      <c r="Q498" s="122"/>
    </row>
    <row r="499" spans="6:17" ht="14.25" customHeight="1" x14ac:dyDescent="0.3">
      <c r="F499" s="314"/>
      <c r="G499" s="314"/>
      <c r="I499" s="120"/>
      <c r="P499" s="122"/>
      <c r="Q499" s="122"/>
    </row>
    <row r="500" spans="6:17" ht="14.25" customHeight="1" x14ac:dyDescent="0.3">
      <c r="F500" s="314"/>
      <c r="G500" s="314"/>
      <c r="I500" s="120"/>
      <c r="P500" s="122"/>
      <c r="Q500" s="122"/>
    </row>
    <row r="501" spans="6:17" ht="14.25" customHeight="1" x14ac:dyDescent="0.3">
      <c r="F501" s="314"/>
      <c r="G501" s="314"/>
      <c r="I501" s="120"/>
      <c r="P501" s="122"/>
      <c r="Q501" s="122"/>
    </row>
    <row r="502" spans="6:17" ht="14.25" customHeight="1" x14ac:dyDescent="0.3">
      <c r="F502" s="314"/>
      <c r="G502" s="314"/>
      <c r="I502" s="120"/>
      <c r="P502" s="122"/>
      <c r="Q502" s="122"/>
    </row>
    <row r="503" spans="6:17" ht="14.25" customHeight="1" x14ac:dyDescent="0.3">
      <c r="F503" s="314"/>
      <c r="G503" s="314"/>
      <c r="I503" s="120"/>
      <c r="P503" s="122"/>
      <c r="Q503" s="122"/>
    </row>
    <row r="504" spans="6:17" ht="14.25" customHeight="1" x14ac:dyDescent="0.3">
      <c r="F504" s="314"/>
      <c r="G504" s="314"/>
      <c r="I504" s="120"/>
      <c r="P504" s="122"/>
      <c r="Q504" s="122"/>
    </row>
    <row r="505" spans="6:17" ht="14.25" customHeight="1" x14ac:dyDescent="0.3">
      <c r="F505" s="314"/>
      <c r="G505" s="314"/>
      <c r="I505" s="120"/>
      <c r="P505" s="122"/>
      <c r="Q505" s="122"/>
    </row>
    <row r="506" spans="6:17" ht="14.25" customHeight="1" x14ac:dyDescent="0.3">
      <c r="F506" s="314"/>
      <c r="G506" s="314"/>
      <c r="I506" s="120"/>
      <c r="P506" s="122"/>
      <c r="Q506" s="122"/>
    </row>
    <row r="507" spans="6:17" ht="14.25" customHeight="1" x14ac:dyDescent="0.3">
      <c r="F507" s="314"/>
      <c r="G507" s="314"/>
      <c r="I507" s="120"/>
      <c r="P507" s="122"/>
      <c r="Q507" s="122"/>
    </row>
    <row r="508" spans="6:17" ht="14.25" customHeight="1" x14ac:dyDescent="0.3">
      <c r="F508" s="314"/>
      <c r="G508" s="314"/>
      <c r="I508" s="120"/>
      <c r="P508" s="122"/>
      <c r="Q508" s="122"/>
    </row>
    <row r="509" spans="6:17" ht="14.25" customHeight="1" x14ac:dyDescent="0.3">
      <c r="F509" s="314"/>
      <c r="G509" s="314"/>
      <c r="I509" s="120"/>
      <c r="P509" s="122"/>
      <c r="Q509" s="122"/>
    </row>
    <row r="510" spans="6:17" ht="14.25" customHeight="1" x14ac:dyDescent="0.3">
      <c r="F510" s="314"/>
      <c r="G510" s="314"/>
      <c r="I510" s="120"/>
      <c r="P510" s="122"/>
      <c r="Q510" s="122"/>
    </row>
    <row r="511" spans="6:17" ht="14.25" customHeight="1" x14ac:dyDescent="0.3">
      <c r="F511" s="314"/>
      <c r="G511" s="314"/>
      <c r="I511" s="120"/>
      <c r="P511" s="122"/>
      <c r="Q511" s="122"/>
    </row>
    <row r="512" spans="6:17" ht="14.25" customHeight="1" x14ac:dyDescent="0.3">
      <c r="F512" s="314"/>
      <c r="G512" s="314"/>
      <c r="I512" s="120"/>
      <c r="P512" s="122"/>
      <c r="Q512" s="122"/>
    </row>
    <row r="513" spans="6:17" ht="14.25" customHeight="1" x14ac:dyDescent="0.3">
      <c r="F513" s="314"/>
      <c r="G513" s="314"/>
      <c r="I513" s="120"/>
      <c r="P513" s="122"/>
      <c r="Q513" s="122"/>
    </row>
    <row r="514" spans="6:17" ht="14.25" customHeight="1" x14ac:dyDescent="0.3">
      <c r="F514" s="314"/>
      <c r="G514" s="314"/>
      <c r="I514" s="120"/>
      <c r="P514" s="122"/>
      <c r="Q514" s="122"/>
    </row>
    <row r="515" spans="6:17" ht="14.25" customHeight="1" x14ac:dyDescent="0.3">
      <c r="F515" s="314"/>
      <c r="G515" s="314"/>
      <c r="I515" s="120"/>
      <c r="P515" s="122"/>
      <c r="Q515" s="122"/>
    </row>
    <row r="516" spans="6:17" ht="14.25" customHeight="1" x14ac:dyDescent="0.3">
      <c r="F516" s="314"/>
      <c r="G516" s="314"/>
      <c r="I516" s="120"/>
      <c r="P516" s="122"/>
      <c r="Q516" s="122"/>
    </row>
    <row r="517" spans="6:17" ht="14.25" customHeight="1" x14ac:dyDescent="0.3">
      <c r="F517" s="314"/>
      <c r="G517" s="314"/>
      <c r="I517" s="120"/>
      <c r="P517" s="122"/>
      <c r="Q517" s="122"/>
    </row>
    <row r="518" spans="6:17" ht="14.25" customHeight="1" x14ac:dyDescent="0.3">
      <c r="F518" s="314"/>
      <c r="G518" s="314"/>
      <c r="I518" s="120"/>
      <c r="P518" s="122"/>
      <c r="Q518" s="122"/>
    </row>
    <row r="519" spans="6:17" ht="14.25" customHeight="1" x14ac:dyDescent="0.3">
      <c r="F519" s="314"/>
      <c r="G519" s="314"/>
      <c r="I519" s="120"/>
      <c r="P519" s="122"/>
      <c r="Q519" s="122"/>
    </row>
    <row r="520" spans="6:17" ht="14.25" customHeight="1" x14ac:dyDescent="0.3">
      <c r="F520" s="314"/>
      <c r="G520" s="314"/>
      <c r="I520" s="120"/>
      <c r="P520" s="122"/>
      <c r="Q520" s="122"/>
    </row>
    <row r="521" spans="6:17" ht="14.25" customHeight="1" x14ac:dyDescent="0.3">
      <c r="F521" s="314"/>
      <c r="G521" s="314"/>
      <c r="I521" s="120"/>
      <c r="P521" s="122"/>
      <c r="Q521" s="122"/>
    </row>
    <row r="522" spans="6:17" ht="14.25" customHeight="1" x14ac:dyDescent="0.3">
      <c r="F522" s="314"/>
      <c r="G522" s="314"/>
      <c r="I522" s="120"/>
      <c r="P522" s="122"/>
      <c r="Q522" s="122"/>
    </row>
    <row r="523" spans="6:17" ht="14.25" customHeight="1" x14ac:dyDescent="0.3">
      <c r="F523" s="314"/>
      <c r="G523" s="314"/>
      <c r="I523" s="120"/>
      <c r="P523" s="122"/>
      <c r="Q523" s="122"/>
    </row>
    <row r="524" spans="6:17" ht="14.25" customHeight="1" x14ac:dyDescent="0.3">
      <c r="F524" s="314"/>
      <c r="G524" s="314"/>
      <c r="I524" s="120"/>
      <c r="P524" s="122"/>
      <c r="Q524" s="122"/>
    </row>
    <row r="525" spans="6:17" ht="14.25" customHeight="1" x14ac:dyDescent="0.3">
      <c r="F525" s="314"/>
      <c r="G525" s="314"/>
      <c r="I525" s="120"/>
      <c r="P525" s="122"/>
      <c r="Q525" s="122"/>
    </row>
    <row r="526" spans="6:17" ht="14.25" customHeight="1" x14ac:dyDescent="0.3">
      <c r="F526" s="314"/>
      <c r="G526" s="314"/>
      <c r="I526" s="120"/>
      <c r="P526" s="122"/>
      <c r="Q526" s="122"/>
    </row>
    <row r="527" spans="6:17" ht="14.25" customHeight="1" x14ac:dyDescent="0.3">
      <c r="F527" s="314"/>
      <c r="G527" s="314"/>
      <c r="I527" s="120"/>
      <c r="P527" s="122"/>
      <c r="Q527" s="122"/>
    </row>
    <row r="528" spans="6:17" ht="14.25" customHeight="1" x14ac:dyDescent="0.3">
      <c r="F528" s="314"/>
      <c r="G528" s="314"/>
      <c r="I528" s="120"/>
      <c r="P528" s="122"/>
      <c r="Q528" s="122"/>
    </row>
    <row r="529" spans="6:17" ht="14.25" customHeight="1" x14ac:dyDescent="0.3">
      <c r="F529" s="314"/>
      <c r="G529" s="314"/>
      <c r="I529" s="120"/>
      <c r="P529" s="122"/>
      <c r="Q529" s="122"/>
    </row>
    <row r="530" spans="6:17" ht="14.25" customHeight="1" x14ac:dyDescent="0.3">
      <c r="F530" s="314"/>
      <c r="G530" s="314"/>
      <c r="I530" s="120"/>
      <c r="P530" s="122"/>
      <c r="Q530" s="122"/>
    </row>
    <row r="531" spans="6:17" ht="14.25" customHeight="1" x14ac:dyDescent="0.3">
      <c r="F531" s="314"/>
      <c r="G531" s="314"/>
      <c r="I531" s="120"/>
      <c r="P531" s="122"/>
      <c r="Q531" s="122"/>
    </row>
    <row r="532" spans="6:17" ht="14.25" customHeight="1" x14ac:dyDescent="0.3">
      <c r="F532" s="314"/>
      <c r="G532" s="314"/>
      <c r="I532" s="120"/>
      <c r="P532" s="122"/>
      <c r="Q532" s="122"/>
    </row>
    <row r="533" spans="6:17" ht="14.25" customHeight="1" x14ac:dyDescent="0.3">
      <c r="F533" s="314"/>
      <c r="G533" s="314"/>
      <c r="I533" s="120"/>
      <c r="P533" s="122"/>
      <c r="Q533" s="122"/>
    </row>
    <row r="534" spans="6:17" ht="14.25" customHeight="1" x14ac:dyDescent="0.3">
      <c r="F534" s="314"/>
      <c r="G534" s="314"/>
      <c r="I534" s="120"/>
      <c r="P534" s="122"/>
      <c r="Q534" s="122"/>
    </row>
    <row r="535" spans="6:17" ht="14.25" customHeight="1" x14ac:dyDescent="0.3">
      <c r="F535" s="314"/>
      <c r="G535" s="314"/>
      <c r="I535" s="120"/>
      <c r="P535" s="122"/>
      <c r="Q535" s="122"/>
    </row>
    <row r="536" spans="6:17" ht="14.25" customHeight="1" x14ac:dyDescent="0.3">
      <c r="F536" s="314"/>
      <c r="G536" s="314"/>
      <c r="I536" s="120"/>
      <c r="P536" s="122"/>
      <c r="Q536" s="122"/>
    </row>
    <row r="537" spans="6:17" ht="14.25" customHeight="1" x14ac:dyDescent="0.3">
      <c r="F537" s="314"/>
      <c r="G537" s="314"/>
      <c r="I537" s="120"/>
      <c r="P537" s="122"/>
      <c r="Q537" s="122"/>
    </row>
    <row r="538" spans="6:17" ht="14.25" customHeight="1" x14ac:dyDescent="0.3">
      <c r="F538" s="314"/>
      <c r="G538" s="314"/>
      <c r="I538" s="120"/>
      <c r="P538" s="122"/>
      <c r="Q538" s="122"/>
    </row>
    <row r="539" spans="6:17" ht="14.25" customHeight="1" x14ac:dyDescent="0.3">
      <c r="F539" s="314"/>
      <c r="G539" s="314"/>
      <c r="I539" s="120"/>
      <c r="P539" s="122"/>
      <c r="Q539" s="122"/>
    </row>
    <row r="540" spans="6:17" ht="14.25" customHeight="1" x14ac:dyDescent="0.3">
      <c r="F540" s="314"/>
      <c r="G540" s="314"/>
      <c r="I540" s="120"/>
      <c r="P540" s="122"/>
      <c r="Q540" s="122"/>
    </row>
    <row r="541" spans="6:17" ht="14.25" customHeight="1" x14ac:dyDescent="0.3">
      <c r="F541" s="314"/>
      <c r="G541" s="314"/>
      <c r="I541" s="120"/>
      <c r="P541" s="122"/>
      <c r="Q541" s="122"/>
    </row>
    <row r="542" spans="6:17" ht="14.25" customHeight="1" x14ac:dyDescent="0.3">
      <c r="F542" s="314"/>
      <c r="G542" s="314"/>
      <c r="I542" s="120"/>
      <c r="P542" s="122"/>
      <c r="Q542" s="122"/>
    </row>
    <row r="543" spans="6:17" ht="14.25" customHeight="1" x14ac:dyDescent="0.3">
      <c r="F543" s="314"/>
      <c r="G543" s="314"/>
      <c r="I543" s="120"/>
      <c r="P543" s="122"/>
      <c r="Q543" s="122"/>
    </row>
    <row r="544" spans="6:17" ht="14.25" customHeight="1" x14ac:dyDescent="0.3">
      <c r="F544" s="314"/>
      <c r="G544" s="314"/>
      <c r="I544" s="120"/>
      <c r="P544" s="122"/>
      <c r="Q544" s="122"/>
    </row>
    <row r="545" spans="6:17" ht="14.25" customHeight="1" x14ac:dyDescent="0.3">
      <c r="F545" s="314"/>
      <c r="G545" s="314"/>
      <c r="I545" s="120"/>
      <c r="P545" s="122"/>
      <c r="Q545" s="122"/>
    </row>
    <row r="546" spans="6:17" ht="14.25" customHeight="1" x14ac:dyDescent="0.3">
      <c r="F546" s="314"/>
      <c r="G546" s="314"/>
      <c r="I546" s="120"/>
      <c r="P546" s="122"/>
      <c r="Q546" s="122"/>
    </row>
    <row r="547" spans="6:17" ht="14.25" customHeight="1" x14ac:dyDescent="0.3">
      <c r="F547" s="314"/>
      <c r="G547" s="314"/>
      <c r="I547" s="120"/>
      <c r="P547" s="122"/>
      <c r="Q547" s="122"/>
    </row>
    <row r="548" spans="6:17" ht="14.25" customHeight="1" x14ac:dyDescent="0.3">
      <c r="F548" s="314"/>
      <c r="G548" s="314"/>
      <c r="I548" s="120"/>
      <c r="P548" s="122"/>
      <c r="Q548" s="122"/>
    </row>
    <row r="549" spans="6:17" ht="14.25" customHeight="1" x14ac:dyDescent="0.3">
      <c r="F549" s="314"/>
      <c r="G549" s="314"/>
      <c r="I549" s="120"/>
      <c r="P549" s="122"/>
      <c r="Q549" s="122"/>
    </row>
    <row r="550" spans="6:17" ht="14.25" customHeight="1" x14ac:dyDescent="0.3">
      <c r="F550" s="314"/>
      <c r="G550" s="314"/>
      <c r="I550" s="120"/>
      <c r="P550" s="122"/>
      <c r="Q550" s="122"/>
    </row>
    <row r="551" spans="6:17" ht="14.25" customHeight="1" x14ac:dyDescent="0.3">
      <c r="F551" s="314"/>
      <c r="G551" s="314"/>
      <c r="I551" s="120"/>
      <c r="P551" s="122"/>
      <c r="Q551" s="122"/>
    </row>
    <row r="552" spans="6:17" ht="14.25" customHeight="1" x14ac:dyDescent="0.3">
      <c r="F552" s="314"/>
      <c r="G552" s="314"/>
      <c r="I552" s="120"/>
      <c r="P552" s="122"/>
      <c r="Q552" s="122"/>
    </row>
    <row r="553" spans="6:17" ht="14.25" customHeight="1" x14ac:dyDescent="0.3">
      <c r="F553" s="314"/>
      <c r="G553" s="314"/>
      <c r="I553" s="120"/>
      <c r="P553" s="122"/>
      <c r="Q553" s="122"/>
    </row>
    <row r="554" spans="6:17" ht="14.25" customHeight="1" x14ac:dyDescent="0.3">
      <c r="F554" s="314"/>
      <c r="G554" s="314"/>
      <c r="I554" s="120"/>
      <c r="P554" s="122"/>
      <c r="Q554" s="122"/>
    </row>
    <row r="555" spans="6:17" ht="14.25" customHeight="1" x14ac:dyDescent="0.3">
      <c r="F555" s="314"/>
      <c r="G555" s="314"/>
      <c r="I555" s="120"/>
      <c r="P555" s="122"/>
      <c r="Q555" s="122"/>
    </row>
    <row r="556" spans="6:17" ht="14.25" customHeight="1" x14ac:dyDescent="0.3">
      <c r="F556" s="314"/>
      <c r="G556" s="314"/>
      <c r="I556" s="120"/>
      <c r="P556" s="122"/>
      <c r="Q556" s="122"/>
    </row>
    <row r="557" spans="6:17" ht="14.25" customHeight="1" x14ac:dyDescent="0.3">
      <c r="F557" s="314"/>
      <c r="G557" s="314"/>
      <c r="I557" s="120"/>
      <c r="P557" s="122"/>
      <c r="Q557" s="122"/>
    </row>
    <row r="558" spans="6:17" ht="14.25" customHeight="1" x14ac:dyDescent="0.3">
      <c r="F558" s="314"/>
      <c r="G558" s="314"/>
      <c r="I558" s="120"/>
      <c r="P558" s="122"/>
      <c r="Q558" s="122"/>
    </row>
    <row r="559" spans="6:17" ht="14.25" customHeight="1" x14ac:dyDescent="0.3">
      <c r="F559" s="314"/>
      <c r="G559" s="314"/>
      <c r="I559" s="120"/>
      <c r="P559" s="122"/>
      <c r="Q559" s="122"/>
    </row>
    <row r="560" spans="6:17" ht="14.25" customHeight="1" x14ac:dyDescent="0.3">
      <c r="F560" s="314"/>
      <c r="G560" s="314"/>
      <c r="I560" s="120"/>
      <c r="P560" s="122"/>
      <c r="Q560" s="122"/>
    </row>
    <row r="561" spans="6:17" ht="14.25" customHeight="1" x14ac:dyDescent="0.3">
      <c r="F561" s="314"/>
      <c r="G561" s="314"/>
      <c r="I561" s="120"/>
      <c r="P561" s="122"/>
      <c r="Q561" s="122"/>
    </row>
    <row r="562" spans="6:17" ht="14.25" customHeight="1" x14ac:dyDescent="0.3">
      <c r="F562" s="314"/>
      <c r="G562" s="314"/>
      <c r="I562" s="120"/>
      <c r="P562" s="122"/>
      <c r="Q562" s="122"/>
    </row>
    <row r="563" spans="6:17" ht="14.25" customHeight="1" x14ac:dyDescent="0.3">
      <c r="F563" s="314"/>
      <c r="G563" s="314"/>
      <c r="I563" s="120"/>
      <c r="P563" s="122"/>
      <c r="Q563" s="122"/>
    </row>
    <row r="564" spans="6:17" ht="14.25" customHeight="1" x14ac:dyDescent="0.3">
      <c r="F564" s="314"/>
      <c r="G564" s="314"/>
      <c r="I564" s="120"/>
      <c r="P564" s="122"/>
      <c r="Q564" s="122"/>
    </row>
    <row r="565" spans="6:17" ht="14.25" customHeight="1" x14ac:dyDescent="0.3">
      <c r="F565" s="314"/>
      <c r="G565" s="314"/>
      <c r="I565" s="120"/>
      <c r="P565" s="122"/>
      <c r="Q565" s="122"/>
    </row>
    <row r="566" spans="6:17" ht="14.25" customHeight="1" x14ac:dyDescent="0.3">
      <c r="F566" s="314"/>
      <c r="G566" s="314"/>
      <c r="I566" s="120"/>
      <c r="P566" s="122"/>
      <c r="Q566" s="122"/>
    </row>
    <row r="567" spans="6:17" ht="14.25" customHeight="1" x14ac:dyDescent="0.3">
      <c r="F567" s="314"/>
      <c r="G567" s="314"/>
      <c r="I567" s="120"/>
      <c r="P567" s="122"/>
      <c r="Q567" s="122"/>
    </row>
    <row r="568" spans="6:17" ht="14.25" customHeight="1" x14ac:dyDescent="0.3">
      <c r="F568" s="314"/>
      <c r="G568" s="314"/>
      <c r="I568" s="120"/>
      <c r="P568" s="122"/>
      <c r="Q568" s="122"/>
    </row>
    <row r="569" spans="6:17" ht="14.25" customHeight="1" x14ac:dyDescent="0.3">
      <c r="F569" s="314"/>
      <c r="G569" s="314"/>
      <c r="I569" s="120"/>
      <c r="P569" s="122"/>
      <c r="Q569" s="122"/>
    </row>
    <row r="570" spans="6:17" ht="14.25" customHeight="1" x14ac:dyDescent="0.3">
      <c r="F570" s="314"/>
      <c r="G570" s="314"/>
      <c r="I570" s="120"/>
      <c r="P570" s="122"/>
      <c r="Q570" s="122"/>
    </row>
    <row r="571" spans="6:17" ht="14.25" customHeight="1" x14ac:dyDescent="0.3">
      <c r="F571" s="314"/>
      <c r="G571" s="314"/>
      <c r="I571" s="120"/>
      <c r="P571" s="122"/>
      <c r="Q571" s="122"/>
    </row>
    <row r="572" spans="6:17" ht="14.25" customHeight="1" x14ac:dyDescent="0.3">
      <c r="F572" s="314"/>
      <c r="G572" s="314"/>
      <c r="I572" s="120"/>
      <c r="P572" s="122"/>
      <c r="Q572" s="122"/>
    </row>
    <row r="573" spans="6:17" ht="14.25" customHeight="1" x14ac:dyDescent="0.3">
      <c r="F573" s="314"/>
      <c r="G573" s="314"/>
      <c r="I573" s="120"/>
      <c r="P573" s="122"/>
      <c r="Q573" s="122"/>
    </row>
    <row r="574" spans="6:17" ht="14.25" customHeight="1" x14ac:dyDescent="0.3">
      <c r="F574" s="314"/>
      <c r="G574" s="314"/>
      <c r="I574" s="120"/>
      <c r="P574" s="122"/>
      <c r="Q574" s="122"/>
    </row>
    <row r="575" spans="6:17" ht="14.25" customHeight="1" x14ac:dyDescent="0.3">
      <c r="F575" s="314"/>
      <c r="G575" s="314"/>
      <c r="I575" s="120"/>
      <c r="P575" s="122"/>
      <c r="Q575" s="122"/>
    </row>
    <row r="576" spans="6:17" ht="14.25" customHeight="1" x14ac:dyDescent="0.3">
      <c r="F576" s="314"/>
      <c r="G576" s="314"/>
      <c r="I576" s="120"/>
      <c r="P576" s="122"/>
      <c r="Q576" s="122"/>
    </row>
    <row r="577" spans="6:17" ht="14.25" customHeight="1" x14ac:dyDescent="0.3">
      <c r="F577" s="314"/>
      <c r="G577" s="314"/>
      <c r="I577" s="120"/>
      <c r="P577" s="122"/>
      <c r="Q577" s="122"/>
    </row>
    <row r="578" spans="6:17" ht="14.25" customHeight="1" x14ac:dyDescent="0.3">
      <c r="F578" s="314"/>
      <c r="G578" s="314"/>
      <c r="I578" s="120"/>
      <c r="P578" s="122"/>
      <c r="Q578" s="122"/>
    </row>
    <row r="579" spans="6:17" ht="14.25" customHeight="1" x14ac:dyDescent="0.3">
      <c r="F579" s="314"/>
      <c r="G579" s="314"/>
      <c r="I579" s="120"/>
      <c r="P579" s="122"/>
      <c r="Q579" s="122"/>
    </row>
    <row r="580" spans="6:17" ht="14.25" customHeight="1" x14ac:dyDescent="0.3">
      <c r="F580" s="314"/>
      <c r="G580" s="314"/>
      <c r="I580" s="120"/>
      <c r="P580" s="122"/>
      <c r="Q580" s="122"/>
    </row>
    <row r="581" spans="6:17" ht="14.25" customHeight="1" x14ac:dyDescent="0.3">
      <c r="F581" s="314"/>
      <c r="G581" s="314"/>
      <c r="I581" s="120"/>
      <c r="P581" s="122"/>
      <c r="Q581" s="122"/>
    </row>
    <row r="582" spans="6:17" ht="14.25" customHeight="1" x14ac:dyDescent="0.3">
      <c r="F582" s="314"/>
      <c r="G582" s="314"/>
      <c r="I582" s="120"/>
      <c r="P582" s="122"/>
      <c r="Q582" s="122"/>
    </row>
    <row r="583" spans="6:17" ht="14.25" customHeight="1" x14ac:dyDescent="0.3">
      <c r="F583" s="314"/>
      <c r="G583" s="314"/>
      <c r="I583" s="120"/>
      <c r="P583" s="122"/>
      <c r="Q583" s="122"/>
    </row>
    <row r="584" spans="6:17" ht="14.25" customHeight="1" x14ac:dyDescent="0.3">
      <c r="F584" s="314"/>
      <c r="G584" s="314"/>
      <c r="I584" s="120"/>
      <c r="P584" s="122"/>
      <c r="Q584" s="122"/>
    </row>
    <row r="585" spans="6:17" ht="14.25" customHeight="1" x14ac:dyDescent="0.3">
      <c r="F585" s="314"/>
      <c r="G585" s="314"/>
      <c r="I585" s="120"/>
      <c r="P585" s="122"/>
      <c r="Q585" s="122"/>
    </row>
    <row r="586" spans="6:17" ht="14.25" customHeight="1" x14ac:dyDescent="0.3">
      <c r="F586" s="314"/>
      <c r="G586" s="314"/>
      <c r="I586" s="120"/>
      <c r="P586" s="122"/>
      <c r="Q586" s="122"/>
    </row>
    <row r="587" spans="6:17" ht="14.25" customHeight="1" x14ac:dyDescent="0.3">
      <c r="F587" s="314"/>
      <c r="G587" s="314"/>
      <c r="I587" s="120"/>
      <c r="P587" s="122"/>
      <c r="Q587" s="122"/>
    </row>
    <row r="588" spans="6:17" ht="14.25" customHeight="1" x14ac:dyDescent="0.3">
      <c r="F588" s="314"/>
      <c r="G588" s="314"/>
      <c r="I588" s="120"/>
      <c r="P588" s="122"/>
      <c r="Q588" s="122"/>
    </row>
    <row r="589" spans="6:17" ht="14.25" customHeight="1" x14ac:dyDescent="0.3">
      <c r="F589" s="314"/>
      <c r="G589" s="314"/>
      <c r="I589" s="120"/>
      <c r="P589" s="122"/>
      <c r="Q589" s="122"/>
    </row>
    <row r="590" spans="6:17" ht="14.25" customHeight="1" x14ac:dyDescent="0.3">
      <c r="F590" s="314"/>
      <c r="G590" s="314"/>
      <c r="I590" s="120"/>
      <c r="P590" s="122"/>
      <c r="Q590" s="122"/>
    </row>
    <row r="591" spans="6:17" ht="14.25" customHeight="1" x14ac:dyDescent="0.3">
      <c r="F591" s="314"/>
      <c r="G591" s="314"/>
      <c r="I591" s="120"/>
      <c r="P591" s="122"/>
      <c r="Q591" s="122"/>
    </row>
    <row r="592" spans="6:17" ht="14.25" customHeight="1" x14ac:dyDescent="0.3">
      <c r="F592" s="314"/>
      <c r="G592" s="314"/>
      <c r="I592" s="120"/>
      <c r="P592" s="122"/>
      <c r="Q592" s="122"/>
    </row>
    <row r="593" spans="6:17" ht="14.25" customHeight="1" x14ac:dyDescent="0.3">
      <c r="F593" s="314"/>
      <c r="G593" s="314"/>
      <c r="I593" s="120"/>
      <c r="P593" s="122"/>
      <c r="Q593" s="122"/>
    </row>
    <row r="594" spans="6:17" ht="14.25" customHeight="1" x14ac:dyDescent="0.3">
      <c r="F594" s="314"/>
      <c r="G594" s="314"/>
      <c r="I594" s="120"/>
      <c r="P594" s="122"/>
      <c r="Q594" s="122"/>
    </row>
    <row r="595" spans="6:17" ht="14.25" customHeight="1" x14ac:dyDescent="0.3">
      <c r="F595" s="314"/>
      <c r="G595" s="314"/>
      <c r="I595" s="120"/>
      <c r="P595" s="122"/>
      <c r="Q595" s="122"/>
    </row>
    <row r="596" spans="6:17" ht="14.25" customHeight="1" x14ac:dyDescent="0.3">
      <c r="F596" s="314"/>
      <c r="G596" s="314"/>
      <c r="I596" s="120"/>
      <c r="P596" s="122"/>
      <c r="Q596" s="122"/>
    </row>
    <row r="597" spans="6:17" ht="14.25" customHeight="1" x14ac:dyDescent="0.3">
      <c r="F597" s="314"/>
      <c r="G597" s="314"/>
      <c r="I597" s="120"/>
      <c r="P597" s="122"/>
      <c r="Q597" s="122"/>
    </row>
    <row r="598" spans="6:17" ht="14.25" customHeight="1" x14ac:dyDescent="0.3">
      <c r="F598" s="314"/>
      <c r="G598" s="314"/>
      <c r="I598" s="120"/>
      <c r="P598" s="122"/>
      <c r="Q598" s="122"/>
    </row>
    <row r="599" spans="6:17" ht="14.25" customHeight="1" x14ac:dyDescent="0.3">
      <c r="F599" s="314"/>
      <c r="G599" s="314"/>
      <c r="I599" s="120"/>
      <c r="P599" s="122"/>
      <c r="Q599" s="122"/>
    </row>
    <row r="600" spans="6:17" ht="14.25" customHeight="1" x14ac:dyDescent="0.3">
      <c r="F600" s="314"/>
      <c r="G600" s="314"/>
      <c r="I600" s="120"/>
      <c r="P600" s="122"/>
      <c r="Q600" s="122"/>
    </row>
    <row r="601" spans="6:17" ht="14.25" customHeight="1" x14ac:dyDescent="0.3">
      <c r="F601" s="314"/>
      <c r="G601" s="314"/>
      <c r="I601" s="120"/>
      <c r="P601" s="122"/>
      <c r="Q601" s="122"/>
    </row>
    <row r="602" spans="6:17" ht="14.25" customHeight="1" x14ac:dyDescent="0.3">
      <c r="F602" s="314"/>
      <c r="G602" s="314"/>
      <c r="I602" s="120"/>
      <c r="P602" s="122"/>
      <c r="Q602" s="122"/>
    </row>
    <row r="603" spans="6:17" ht="14.25" customHeight="1" x14ac:dyDescent="0.3">
      <c r="F603" s="314"/>
      <c r="G603" s="314"/>
      <c r="I603" s="120"/>
      <c r="P603" s="122"/>
      <c r="Q603" s="122"/>
    </row>
    <row r="604" spans="6:17" ht="14.25" customHeight="1" x14ac:dyDescent="0.3">
      <c r="F604" s="314"/>
      <c r="G604" s="314"/>
      <c r="I604" s="120"/>
      <c r="P604" s="122"/>
      <c r="Q604" s="122"/>
    </row>
    <row r="605" spans="6:17" ht="14.25" customHeight="1" x14ac:dyDescent="0.3">
      <c r="F605" s="314"/>
      <c r="G605" s="314"/>
      <c r="I605" s="120"/>
      <c r="P605" s="122"/>
      <c r="Q605" s="122"/>
    </row>
    <row r="606" spans="6:17" ht="14.25" customHeight="1" x14ac:dyDescent="0.3">
      <c r="F606" s="314"/>
      <c r="G606" s="314"/>
      <c r="I606" s="120"/>
      <c r="P606" s="122"/>
      <c r="Q606" s="122"/>
    </row>
    <row r="607" spans="6:17" ht="14.25" customHeight="1" x14ac:dyDescent="0.3">
      <c r="F607" s="314"/>
      <c r="G607" s="314"/>
      <c r="I607" s="120"/>
      <c r="P607" s="122"/>
      <c r="Q607" s="122"/>
    </row>
    <row r="608" spans="6:17" ht="14.25" customHeight="1" x14ac:dyDescent="0.3">
      <c r="F608" s="314"/>
      <c r="G608" s="314"/>
      <c r="I608" s="120"/>
      <c r="P608" s="122"/>
      <c r="Q608" s="122"/>
    </row>
    <row r="609" spans="6:17" ht="14.25" customHeight="1" x14ac:dyDescent="0.3">
      <c r="F609" s="314"/>
      <c r="G609" s="314"/>
      <c r="I609" s="120"/>
      <c r="P609" s="122"/>
      <c r="Q609" s="122"/>
    </row>
    <row r="610" spans="6:17" ht="14.25" customHeight="1" x14ac:dyDescent="0.3">
      <c r="F610" s="314"/>
      <c r="G610" s="314"/>
      <c r="I610" s="120"/>
      <c r="P610" s="122"/>
      <c r="Q610" s="122"/>
    </row>
    <row r="611" spans="6:17" ht="14.25" customHeight="1" x14ac:dyDescent="0.3">
      <c r="F611" s="314"/>
      <c r="G611" s="314"/>
      <c r="I611" s="120"/>
      <c r="P611" s="122"/>
      <c r="Q611" s="122"/>
    </row>
    <row r="612" spans="6:17" ht="14.25" customHeight="1" x14ac:dyDescent="0.3">
      <c r="F612" s="314"/>
      <c r="G612" s="314"/>
      <c r="I612" s="120"/>
      <c r="P612" s="122"/>
      <c r="Q612" s="122"/>
    </row>
    <row r="613" spans="6:17" ht="14.25" customHeight="1" x14ac:dyDescent="0.3">
      <c r="F613" s="314"/>
      <c r="G613" s="314"/>
      <c r="I613" s="120"/>
      <c r="P613" s="122"/>
      <c r="Q613" s="122"/>
    </row>
    <row r="614" spans="6:17" ht="14.25" customHeight="1" x14ac:dyDescent="0.3">
      <c r="F614" s="314"/>
      <c r="G614" s="314"/>
      <c r="I614" s="120"/>
      <c r="P614" s="122"/>
      <c r="Q614" s="122"/>
    </row>
    <row r="615" spans="6:17" ht="14.25" customHeight="1" x14ac:dyDescent="0.3">
      <c r="F615" s="314"/>
      <c r="G615" s="314"/>
      <c r="I615" s="120"/>
      <c r="P615" s="122"/>
      <c r="Q615" s="122"/>
    </row>
    <row r="616" spans="6:17" ht="14.25" customHeight="1" x14ac:dyDescent="0.3">
      <c r="F616" s="314"/>
      <c r="G616" s="314"/>
      <c r="I616" s="120"/>
      <c r="P616" s="122"/>
      <c r="Q616" s="122"/>
    </row>
    <row r="617" spans="6:17" ht="14.25" customHeight="1" x14ac:dyDescent="0.3">
      <c r="F617" s="314"/>
      <c r="G617" s="314"/>
      <c r="I617" s="120"/>
      <c r="P617" s="122"/>
      <c r="Q617" s="122"/>
    </row>
    <row r="618" spans="6:17" ht="14.25" customHeight="1" x14ac:dyDescent="0.3">
      <c r="F618" s="314"/>
      <c r="G618" s="314"/>
      <c r="I618" s="120"/>
      <c r="P618" s="122"/>
      <c r="Q618" s="122"/>
    </row>
    <row r="619" spans="6:17" ht="14.25" customHeight="1" x14ac:dyDescent="0.3">
      <c r="F619" s="314"/>
      <c r="G619" s="314"/>
      <c r="I619" s="120"/>
      <c r="P619" s="122"/>
      <c r="Q619" s="122"/>
    </row>
    <row r="620" spans="6:17" ht="14.25" customHeight="1" x14ac:dyDescent="0.3">
      <c r="F620" s="314"/>
      <c r="G620" s="314"/>
      <c r="I620" s="120"/>
      <c r="P620" s="122"/>
      <c r="Q620" s="122"/>
    </row>
    <row r="621" spans="6:17" ht="14.25" customHeight="1" x14ac:dyDescent="0.3">
      <c r="F621" s="314"/>
      <c r="G621" s="314"/>
      <c r="I621" s="120"/>
      <c r="P621" s="122"/>
      <c r="Q621" s="122"/>
    </row>
    <row r="622" spans="6:17" ht="14.25" customHeight="1" x14ac:dyDescent="0.3">
      <c r="F622" s="314"/>
      <c r="G622" s="314"/>
      <c r="I622" s="120"/>
      <c r="P622" s="122"/>
      <c r="Q622" s="122"/>
    </row>
    <row r="623" spans="6:17" ht="14.25" customHeight="1" x14ac:dyDescent="0.3">
      <c r="F623" s="314"/>
      <c r="G623" s="314"/>
      <c r="I623" s="120"/>
      <c r="P623" s="122"/>
      <c r="Q623" s="122"/>
    </row>
    <row r="624" spans="6:17" ht="14.25" customHeight="1" x14ac:dyDescent="0.3">
      <c r="F624" s="314"/>
      <c r="G624" s="314"/>
      <c r="I624" s="120"/>
      <c r="P624" s="122"/>
      <c r="Q624" s="122"/>
    </row>
    <row r="625" spans="6:17" ht="14.25" customHeight="1" x14ac:dyDescent="0.3">
      <c r="F625" s="314"/>
      <c r="G625" s="314"/>
      <c r="I625" s="120"/>
      <c r="P625" s="122"/>
      <c r="Q625" s="122"/>
    </row>
    <row r="626" spans="6:17" ht="14.25" customHeight="1" x14ac:dyDescent="0.3">
      <c r="F626" s="314"/>
      <c r="G626" s="314"/>
      <c r="I626" s="120"/>
      <c r="P626" s="122"/>
      <c r="Q626" s="122"/>
    </row>
    <row r="627" spans="6:17" ht="14.25" customHeight="1" x14ac:dyDescent="0.3">
      <c r="F627" s="314"/>
      <c r="G627" s="314"/>
      <c r="I627" s="120"/>
      <c r="P627" s="122"/>
      <c r="Q627" s="122"/>
    </row>
    <row r="628" spans="6:17" ht="14.25" customHeight="1" x14ac:dyDescent="0.3">
      <c r="F628" s="314"/>
      <c r="G628" s="314"/>
      <c r="I628" s="120"/>
      <c r="P628" s="122"/>
      <c r="Q628" s="122"/>
    </row>
    <row r="629" spans="6:17" ht="14.25" customHeight="1" x14ac:dyDescent="0.3">
      <c r="F629" s="314"/>
      <c r="G629" s="314"/>
      <c r="I629" s="120"/>
      <c r="P629" s="122"/>
      <c r="Q629" s="122"/>
    </row>
    <row r="630" spans="6:17" ht="14.25" customHeight="1" x14ac:dyDescent="0.3">
      <c r="F630" s="314"/>
      <c r="G630" s="314"/>
      <c r="I630" s="120"/>
      <c r="P630" s="122"/>
      <c r="Q630" s="122"/>
    </row>
    <row r="631" spans="6:17" ht="14.25" customHeight="1" x14ac:dyDescent="0.3">
      <c r="F631" s="314"/>
      <c r="G631" s="314"/>
      <c r="I631" s="120"/>
      <c r="P631" s="122"/>
      <c r="Q631" s="122"/>
    </row>
    <row r="632" spans="6:17" ht="14.25" customHeight="1" x14ac:dyDescent="0.3">
      <c r="F632" s="314"/>
      <c r="G632" s="314"/>
      <c r="I632" s="120"/>
      <c r="P632" s="122"/>
      <c r="Q632" s="122"/>
    </row>
    <row r="633" spans="6:17" ht="14.25" customHeight="1" x14ac:dyDescent="0.3">
      <c r="F633" s="314"/>
      <c r="G633" s="314"/>
      <c r="I633" s="120"/>
      <c r="P633" s="122"/>
      <c r="Q633" s="122"/>
    </row>
    <row r="634" spans="6:17" ht="14.25" customHeight="1" x14ac:dyDescent="0.3">
      <c r="F634" s="314"/>
      <c r="G634" s="314"/>
      <c r="I634" s="120"/>
      <c r="P634" s="122"/>
      <c r="Q634" s="122"/>
    </row>
    <row r="635" spans="6:17" ht="14.25" customHeight="1" x14ac:dyDescent="0.3">
      <c r="F635" s="314"/>
      <c r="G635" s="314"/>
      <c r="I635" s="120"/>
      <c r="P635" s="122"/>
      <c r="Q635" s="122"/>
    </row>
    <row r="636" spans="6:17" ht="14.25" customHeight="1" x14ac:dyDescent="0.3">
      <c r="F636" s="314"/>
      <c r="G636" s="314"/>
      <c r="I636" s="120"/>
      <c r="P636" s="122"/>
      <c r="Q636" s="122"/>
    </row>
    <row r="637" spans="6:17" ht="14.25" customHeight="1" x14ac:dyDescent="0.3">
      <c r="F637" s="314"/>
      <c r="G637" s="314"/>
      <c r="I637" s="120"/>
      <c r="P637" s="122"/>
      <c r="Q637" s="122"/>
    </row>
    <row r="638" spans="6:17" ht="14.25" customHeight="1" x14ac:dyDescent="0.3">
      <c r="F638" s="314"/>
      <c r="G638" s="314"/>
      <c r="I638" s="120"/>
      <c r="P638" s="122"/>
      <c r="Q638" s="122"/>
    </row>
    <row r="639" spans="6:17" ht="14.25" customHeight="1" x14ac:dyDescent="0.3">
      <c r="F639" s="314"/>
      <c r="G639" s="314"/>
      <c r="I639" s="120"/>
      <c r="P639" s="122"/>
      <c r="Q639" s="122"/>
    </row>
    <row r="640" spans="6:17" ht="14.25" customHeight="1" x14ac:dyDescent="0.3">
      <c r="F640" s="314"/>
      <c r="G640" s="314"/>
      <c r="I640" s="120"/>
      <c r="P640" s="122"/>
      <c r="Q640" s="122"/>
    </row>
    <row r="641" spans="6:17" ht="14.25" customHeight="1" x14ac:dyDescent="0.3">
      <c r="F641" s="314"/>
      <c r="G641" s="314"/>
      <c r="I641" s="120"/>
      <c r="P641" s="122"/>
      <c r="Q641" s="122"/>
    </row>
    <row r="642" spans="6:17" ht="14.25" customHeight="1" x14ac:dyDescent="0.3">
      <c r="F642" s="314"/>
      <c r="G642" s="314"/>
      <c r="I642" s="120"/>
      <c r="P642" s="122"/>
      <c r="Q642" s="122"/>
    </row>
    <row r="643" spans="6:17" ht="14.25" customHeight="1" x14ac:dyDescent="0.3">
      <c r="F643" s="314"/>
      <c r="G643" s="314"/>
      <c r="I643" s="120"/>
      <c r="P643" s="122"/>
      <c r="Q643" s="122"/>
    </row>
    <row r="644" spans="6:17" ht="14.25" customHeight="1" x14ac:dyDescent="0.3">
      <c r="F644" s="314"/>
      <c r="G644" s="314"/>
      <c r="I644" s="120"/>
      <c r="P644" s="122"/>
      <c r="Q644" s="122"/>
    </row>
    <row r="645" spans="6:17" ht="14.25" customHeight="1" x14ac:dyDescent="0.3">
      <c r="F645" s="314"/>
      <c r="G645" s="314"/>
      <c r="I645" s="120"/>
      <c r="P645" s="122"/>
      <c r="Q645" s="122"/>
    </row>
    <row r="646" spans="6:17" ht="14.25" customHeight="1" x14ac:dyDescent="0.3">
      <c r="F646" s="314"/>
      <c r="G646" s="314"/>
      <c r="I646" s="120"/>
      <c r="P646" s="122"/>
      <c r="Q646" s="122"/>
    </row>
    <row r="647" spans="6:17" ht="14.25" customHeight="1" x14ac:dyDescent="0.3">
      <c r="F647" s="314"/>
      <c r="G647" s="314"/>
      <c r="I647" s="120"/>
      <c r="P647" s="122"/>
      <c r="Q647" s="122"/>
    </row>
    <row r="648" spans="6:17" ht="14.25" customHeight="1" x14ac:dyDescent="0.3">
      <c r="F648" s="314"/>
      <c r="G648" s="314"/>
      <c r="I648" s="120"/>
      <c r="P648" s="122"/>
      <c r="Q648" s="122"/>
    </row>
    <row r="649" spans="6:17" ht="14.25" customHeight="1" x14ac:dyDescent="0.3">
      <c r="F649" s="314"/>
      <c r="G649" s="314"/>
      <c r="I649" s="120"/>
      <c r="P649" s="122"/>
      <c r="Q649" s="122"/>
    </row>
    <row r="650" spans="6:17" ht="14.25" customHeight="1" x14ac:dyDescent="0.3">
      <c r="F650" s="314"/>
      <c r="G650" s="314"/>
      <c r="I650" s="120"/>
      <c r="P650" s="122"/>
      <c r="Q650" s="122"/>
    </row>
    <row r="651" spans="6:17" ht="14.25" customHeight="1" x14ac:dyDescent="0.3">
      <c r="F651" s="314"/>
      <c r="G651" s="314"/>
      <c r="I651" s="120"/>
      <c r="P651" s="122"/>
      <c r="Q651" s="122"/>
    </row>
    <row r="652" spans="6:17" ht="14.25" customHeight="1" x14ac:dyDescent="0.3">
      <c r="F652" s="314"/>
      <c r="G652" s="314"/>
      <c r="I652" s="120"/>
      <c r="P652" s="122"/>
      <c r="Q652" s="122"/>
    </row>
    <row r="653" spans="6:17" ht="14.25" customHeight="1" x14ac:dyDescent="0.3">
      <c r="F653" s="314"/>
      <c r="G653" s="314"/>
      <c r="I653" s="120"/>
      <c r="P653" s="122"/>
      <c r="Q653" s="122"/>
    </row>
    <row r="654" spans="6:17" ht="14.25" customHeight="1" x14ac:dyDescent="0.3">
      <c r="F654" s="314"/>
      <c r="G654" s="314"/>
      <c r="I654" s="120"/>
      <c r="P654" s="122"/>
      <c r="Q654" s="122"/>
    </row>
    <row r="655" spans="6:17" ht="14.25" customHeight="1" x14ac:dyDescent="0.3">
      <c r="F655" s="314"/>
      <c r="G655" s="314"/>
      <c r="I655" s="120"/>
      <c r="P655" s="122"/>
      <c r="Q655" s="122"/>
    </row>
    <row r="656" spans="6:17" ht="14.25" customHeight="1" x14ac:dyDescent="0.3">
      <c r="F656" s="314"/>
      <c r="G656" s="314"/>
      <c r="I656" s="120"/>
      <c r="P656" s="122"/>
      <c r="Q656" s="122"/>
    </row>
    <row r="657" spans="6:17" ht="14.25" customHeight="1" x14ac:dyDescent="0.3">
      <c r="F657" s="314"/>
      <c r="G657" s="314"/>
      <c r="I657" s="120"/>
      <c r="P657" s="122"/>
      <c r="Q657" s="122"/>
    </row>
    <row r="658" spans="6:17" ht="14.25" customHeight="1" x14ac:dyDescent="0.3">
      <c r="F658" s="314"/>
      <c r="G658" s="314"/>
      <c r="I658" s="120"/>
      <c r="P658" s="122"/>
      <c r="Q658" s="122"/>
    </row>
    <row r="659" spans="6:17" ht="14.25" customHeight="1" x14ac:dyDescent="0.3">
      <c r="F659" s="314"/>
      <c r="G659" s="314"/>
      <c r="I659" s="120"/>
      <c r="P659" s="122"/>
      <c r="Q659" s="122"/>
    </row>
    <row r="660" spans="6:17" ht="14.25" customHeight="1" x14ac:dyDescent="0.3">
      <c r="F660" s="314"/>
      <c r="G660" s="314"/>
      <c r="I660" s="120"/>
      <c r="P660" s="122"/>
      <c r="Q660" s="122"/>
    </row>
    <row r="661" spans="6:17" ht="14.25" customHeight="1" x14ac:dyDescent="0.3">
      <c r="F661" s="314"/>
      <c r="G661" s="314"/>
      <c r="I661" s="120"/>
      <c r="P661" s="122"/>
      <c r="Q661" s="122"/>
    </row>
    <row r="662" spans="6:17" ht="14.25" customHeight="1" x14ac:dyDescent="0.3">
      <c r="F662" s="314"/>
      <c r="G662" s="314"/>
      <c r="I662" s="120"/>
      <c r="P662" s="122"/>
      <c r="Q662" s="122"/>
    </row>
    <row r="663" spans="6:17" ht="14.25" customHeight="1" x14ac:dyDescent="0.3">
      <c r="F663" s="314"/>
      <c r="G663" s="314"/>
      <c r="I663" s="120"/>
      <c r="P663" s="122"/>
      <c r="Q663" s="122"/>
    </row>
    <row r="664" spans="6:17" ht="14.25" customHeight="1" x14ac:dyDescent="0.3">
      <c r="F664" s="314"/>
      <c r="G664" s="314"/>
      <c r="I664" s="120"/>
      <c r="P664" s="122"/>
      <c r="Q664" s="122"/>
    </row>
    <row r="665" spans="6:17" ht="14.25" customHeight="1" x14ac:dyDescent="0.3">
      <c r="F665" s="314"/>
      <c r="G665" s="314"/>
      <c r="I665" s="120"/>
      <c r="P665" s="122"/>
      <c r="Q665" s="122"/>
    </row>
    <row r="666" spans="6:17" ht="14.25" customHeight="1" x14ac:dyDescent="0.3">
      <c r="F666" s="314"/>
      <c r="G666" s="314"/>
      <c r="I666" s="120"/>
      <c r="P666" s="122"/>
      <c r="Q666" s="122"/>
    </row>
    <row r="667" spans="6:17" ht="14.25" customHeight="1" x14ac:dyDescent="0.3">
      <c r="F667" s="314"/>
      <c r="G667" s="314"/>
      <c r="I667" s="120"/>
      <c r="P667" s="122"/>
      <c r="Q667" s="122"/>
    </row>
    <row r="668" spans="6:17" ht="14.25" customHeight="1" x14ac:dyDescent="0.3">
      <c r="F668" s="314"/>
      <c r="G668" s="314"/>
      <c r="I668" s="120"/>
      <c r="P668" s="122"/>
      <c r="Q668" s="122"/>
    </row>
    <row r="669" spans="6:17" ht="14.25" customHeight="1" x14ac:dyDescent="0.3">
      <c r="F669" s="314"/>
      <c r="G669" s="314"/>
      <c r="I669" s="120"/>
      <c r="P669" s="122"/>
      <c r="Q669" s="122"/>
    </row>
    <row r="670" spans="6:17" ht="14.25" customHeight="1" x14ac:dyDescent="0.3">
      <c r="F670" s="314"/>
      <c r="G670" s="314"/>
      <c r="I670" s="120"/>
      <c r="P670" s="122"/>
      <c r="Q670" s="122"/>
    </row>
    <row r="671" spans="6:17" ht="14.25" customHeight="1" x14ac:dyDescent="0.3">
      <c r="F671" s="314"/>
      <c r="G671" s="314"/>
      <c r="I671" s="120"/>
      <c r="P671" s="122"/>
      <c r="Q671" s="122"/>
    </row>
    <row r="672" spans="6:17" ht="14.25" customHeight="1" x14ac:dyDescent="0.3">
      <c r="F672" s="314"/>
      <c r="G672" s="314"/>
      <c r="I672" s="120"/>
      <c r="P672" s="122"/>
      <c r="Q672" s="122"/>
    </row>
    <row r="673" spans="6:17" ht="14.25" customHeight="1" x14ac:dyDescent="0.3">
      <c r="F673" s="314"/>
      <c r="G673" s="314"/>
      <c r="I673" s="120"/>
      <c r="P673" s="122"/>
      <c r="Q673" s="122"/>
    </row>
    <row r="674" spans="6:17" ht="14.25" customHeight="1" x14ac:dyDescent="0.3">
      <c r="F674" s="314"/>
      <c r="G674" s="314"/>
      <c r="I674" s="120"/>
      <c r="P674" s="122"/>
      <c r="Q674" s="122"/>
    </row>
    <row r="675" spans="6:17" ht="14.25" customHeight="1" x14ac:dyDescent="0.3">
      <c r="F675" s="314"/>
      <c r="G675" s="314"/>
      <c r="I675" s="120"/>
      <c r="P675" s="122"/>
      <c r="Q675" s="122"/>
    </row>
    <row r="676" spans="6:17" ht="14.25" customHeight="1" x14ac:dyDescent="0.3">
      <c r="F676" s="314"/>
      <c r="G676" s="314"/>
      <c r="I676" s="120"/>
      <c r="P676" s="122"/>
      <c r="Q676" s="122"/>
    </row>
    <row r="677" spans="6:17" ht="14.25" customHeight="1" x14ac:dyDescent="0.3">
      <c r="F677" s="314"/>
      <c r="G677" s="314"/>
      <c r="I677" s="120"/>
      <c r="P677" s="122"/>
      <c r="Q677" s="122"/>
    </row>
    <row r="678" spans="6:17" ht="14.25" customHeight="1" x14ac:dyDescent="0.3">
      <c r="F678" s="314"/>
      <c r="G678" s="314"/>
      <c r="I678" s="120"/>
      <c r="P678" s="122"/>
      <c r="Q678" s="122"/>
    </row>
    <row r="679" spans="6:17" ht="14.25" customHeight="1" x14ac:dyDescent="0.3">
      <c r="F679" s="314"/>
      <c r="G679" s="314"/>
      <c r="I679" s="120"/>
      <c r="P679" s="122"/>
      <c r="Q679" s="122"/>
    </row>
    <row r="680" spans="6:17" ht="14.25" customHeight="1" x14ac:dyDescent="0.3">
      <c r="F680" s="314"/>
      <c r="G680" s="314"/>
      <c r="I680" s="120"/>
      <c r="P680" s="122"/>
      <c r="Q680" s="122"/>
    </row>
    <row r="681" spans="6:17" ht="14.25" customHeight="1" x14ac:dyDescent="0.3">
      <c r="F681" s="314"/>
      <c r="G681" s="314"/>
      <c r="I681" s="120"/>
      <c r="P681" s="122"/>
      <c r="Q681" s="122"/>
    </row>
    <row r="682" spans="6:17" ht="14.25" customHeight="1" x14ac:dyDescent="0.3">
      <c r="F682" s="314"/>
      <c r="G682" s="314"/>
      <c r="I682" s="120"/>
      <c r="P682" s="122"/>
      <c r="Q682" s="122"/>
    </row>
    <row r="683" spans="6:17" ht="14.25" customHeight="1" x14ac:dyDescent="0.3">
      <c r="F683" s="314"/>
      <c r="G683" s="314"/>
      <c r="I683" s="120"/>
      <c r="P683" s="122"/>
      <c r="Q683" s="122"/>
    </row>
    <row r="684" spans="6:17" ht="14.25" customHeight="1" x14ac:dyDescent="0.3">
      <c r="F684" s="314"/>
      <c r="G684" s="314"/>
      <c r="I684" s="120"/>
      <c r="P684" s="122"/>
      <c r="Q684" s="122"/>
    </row>
    <row r="685" spans="6:17" ht="14.25" customHeight="1" x14ac:dyDescent="0.3">
      <c r="F685" s="314"/>
      <c r="G685" s="314"/>
      <c r="I685" s="120"/>
      <c r="P685" s="122"/>
      <c r="Q685" s="122"/>
    </row>
    <row r="686" spans="6:17" ht="14.25" customHeight="1" x14ac:dyDescent="0.3">
      <c r="F686" s="314"/>
      <c r="G686" s="314"/>
      <c r="I686" s="120"/>
      <c r="P686" s="122"/>
      <c r="Q686" s="122"/>
    </row>
    <row r="687" spans="6:17" ht="14.25" customHeight="1" x14ac:dyDescent="0.3">
      <c r="F687" s="314"/>
      <c r="G687" s="314"/>
      <c r="I687" s="120"/>
      <c r="P687" s="122"/>
      <c r="Q687" s="122"/>
    </row>
    <row r="688" spans="6:17" ht="14.25" customHeight="1" x14ac:dyDescent="0.3">
      <c r="F688" s="314"/>
      <c r="G688" s="314"/>
      <c r="I688" s="120"/>
      <c r="P688" s="122"/>
      <c r="Q688" s="122"/>
    </row>
    <row r="689" spans="6:17" ht="14.25" customHeight="1" x14ac:dyDescent="0.3">
      <c r="F689" s="314"/>
      <c r="G689" s="314"/>
      <c r="I689" s="120"/>
      <c r="P689" s="122"/>
      <c r="Q689" s="122"/>
    </row>
    <row r="690" spans="6:17" ht="14.25" customHeight="1" x14ac:dyDescent="0.3">
      <c r="F690" s="314"/>
      <c r="G690" s="314"/>
      <c r="I690" s="120"/>
      <c r="P690" s="122"/>
      <c r="Q690" s="122"/>
    </row>
    <row r="691" spans="6:17" ht="14.25" customHeight="1" x14ac:dyDescent="0.3">
      <c r="F691" s="314"/>
      <c r="G691" s="314"/>
      <c r="I691" s="120"/>
      <c r="P691" s="122"/>
      <c r="Q691" s="122"/>
    </row>
    <row r="692" spans="6:17" ht="14.25" customHeight="1" x14ac:dyDescent="0.3">
      <c r="F692" s="314"/>
      <c r="G692" s="314"/>
      <c r="I692" s="120"/>
      <c r="P692" s="122"/>
      <c r="Q692" s="122"/>
    </row>
    <row r="693" spans="6:17" ht="14.25" customHeight="1" x14ac:dyDescent="0.3">
      <c r="F693" s="314"/>
      <c r="G693" s="314"/>
      <c r="I693" s="120"/>
      <c r="P693" s="122"/>
      <c r="Q693" s="122"/>
    </row>
    <row r="694" spans="6:17" ht="14.25" customHeight="1" x14ac:dyDescent="0.3">
      <c r="F694" s="314"/>
      <c r="G694" s="314"/>
      <c r="I694" s="120"/>
      <c r="P694" s="122"/>
      <c r="Q694" s="122"/>
    </row>
    <row r="695" spans="6:17" ht="14.25" customHeight="1" x14ac:dyDescent="0.3">
      <c r="F695" s="314"/>
      <c r="G695" s="314"/>
      <c r="I695" s="120"/>
      <c r="P695" s="122"/>
      <c r="Q695" s="122"/>
    </row>
    <row r="696" spans="6:17" ht="14.25" customHeight="1" x14ac:dyDescent="0.3">
      <c r="F696" s="314"/>
      <c r="G696" s="314"/>
      <c r="I696" s="120"/>
      <c r="P696" s="122"/>
      <c r="Q696" s="122"/>
    </row>
    <row r="697" spans="6:17" ht="14.25" customHeight="1" x14ac:dyDescent="0.3">
      <c r="F697" s="314"/>
      <c r="G697" s="314"/>
      <c r="I697" s="120"/>
      <c r="P697" s="122"/>
      <c r="Q697" s="122"/>
    </row>
    <row r="698" spans="6:17" ht="14.25" customHeight="1" x14ac:dyDescent="0.3">
      <c r="F698" s="314"/>
      <c r="G698" s="314"/>
      <c r="I698" s="120"/>
      <c r="P698" s="122"/>
      <c r="Q698" s="122"/>
    </row>
    <row r="699" spans="6:17" ht="14.25" customHeight="1" x14ac:dyDescent="0.3">
      <c r="F699" s="314"/>
      <c r="G699" s="314"/>
      <c r="I699" s="120"/>
      <c r="P699" s="122"/>
      <c r="Q699" s="122"/>
    </row>
    <row r="700" spans="6:17" ht="14.25" customHeight="1" x14ac:dyDescent="0.3">
      <c r="F700" s="314"/>
      <c r="G700" s="314"/>
      <c r="I700" s="120"/>
      <c r="P700" s="122"/>
      <c r="Q700" s="122"/>
    </row>
    <row r="701" spans="6:17" ht="14.25" customHeight="1" x14ac:dyDescent="0.3">
      <c r="F701" s="314"/>
      <c r="G701" s="314"/>
      <c r="I701" s="120"/>
      <c r="P701" s="122"/>
      <c r="Q701" s="122"/>
    </row>
    <row r="702" spans="6:17" ht="14.25" customHeight="1" x14ac:dyDescent="0.3">
      <c r="F702" s="314"/>
      <c r="G702" s="314"/>
      <c r="I702" s="120"/>
      <c r="P702" s="122"/>
      <c r="Q702" s="122"/>
    </row>
    <row r="703" spans="6:17" ht="14.25" customHeight="1" x14ac:dyDescent="0.3">
      <c r="F703" s="314"/>
      <c r="G703" s="314"/>
      <c r="I703" s="120"/>
      <c r="P703" s="122"/>
      <c r="Q703" s="122"/>
    </row>
    <row r="704" spans="6:17" ht="14.25" customHeight="1" x14ac:dyDescent="0.3">
      <c r="F704" s="314"/>
      <c r="G704" s="314"/>
      <c r="I704" s="120"/>
      <c r="P704" s="122"/>
      <c r="Q704" s="122"/>
    </row>
    <row r="705" spans="6:17" ht="14.25" customHeight="1" x14ac:dyDescent="0.3">
      <c r="F705" s="314"/>
      <c r="G705" s="314"/>
      <c r="I705" s="120"/>
      <c r="P705" s="122"/>
      <c r="Q705" s="122"/>
    </row>
    <row r="706" spans="6:17" ht="14.25" customHeight="1" x14ac:dyDescent="0.3">
      <c r="F706" s="314"/>
      <c r="G706" s="314"/>
      <c r="I706" s="120"/>
      <c r="P706" s="122"/>
      <c r="Q706" s="122"/>
    </row>
    <row r="707" spans="6:17" ht="14.25" customHeight="1" x14ac:dyDescent="0.3">
      <c r="F707" s="314"/>
      <c r="G707" s="314"/>
      <c r="I707" s="120"/>
      <c r="P707" s="122"/>
      <c r="Q707" s="122"/>
    </row>
    <row r="708" spans="6:17" ht="14.25" customHeight="1" x14ac:dyDescent="0.3">
      <c r="F708" s="314"/>
      <c r="G708" s="314"/>
      <c r="I708" s="120"/>
      <c r="P708" s="122"/>
      <c r="Q708" s="122"/>
    </row>
    <row r="709" spans="6:17" ht="14.25" customHeight="1" x14ac:dyDescent="0.3">
      <c r="F709" s="314"/>
      <c r="G709" s="314"/>
      <c r="I709" s="120"/>
      <c r="P709" s="122"/>
      <c r="Q709" s="122"/>
    </row>
    <row r="710" spans="6:17" ht="14.25" customHeight="1" x14ac:dyDescent="0.3">
      <c r="F710" s="314"/>
      <c r="G710" s="314"/>
      <c r="I710" s="120"/>
      <c r="P710" s="122"/>
      <c r="Q710" s="122"/>
    </row>
    <row r="711" spans="6:17" ht="14.25" customHeight="1" x14ac:dyDescent="0.3">
      <c r="F711" s="314"/>
      <c r="G711" s="314"/>
      <c r="I711" s="120"/>
      <c r="P711" s="122"/>
      <c r="Q711" s="122"/>
    </row>
    <row r="712" spans="6:17" ht="14.25" customHeight="1" x14ac:dyDescent="0.3">
      <c r="F712" s="314"/>
      <c r="G712" s="314"/>
      <c r="I712" s="120"/>
      <c r="P712" s="122"/>
      <c r="Q712" s="122"/>
    </row>
    <row r="713" spans="6:17" ht="14.25" customHeight="1" x14ac:dyDescent="0.3">
      <c r="F713" s="314"/>
      <c r="G713" s="314"/>
      <c r="I713" s="120"/>
      <c r="P713" s="122"/>
      <c r="Q713" s="122"/>
    </row>
    <row r="714" spans="6:17" ht="14.25" customHeight="1" x14ac:dyDescent="0.3">
      <c r="F714" s="314"/>
      <c r="G714" s="314"/>
      <c r="I714" s="120"/>
      <c r="P714" s="122"/>
      <c r="Q714" s="122"/>
    </row>
    <row r="715" spans="6:17" ht="14.25" customHeight="1" x14ac:dyDescent="0.3">
      <c r="F715" s="314"/>
      <c r="G715" s="314"/>
      <c r="I715" s="120"/>
      <c r="P715" s="122"/>
      <c r="Q715" s="122"/>
    </row>
    <row r="716" spans="6:17" ht="14.25" customHeight="1" x14ac:dyDescent="0.3">
      <c r="F716" s="314"/>
      <c r="G716" s="314"/>
      <c r="I716" s="120"/>
      <c r="P716" s="122"/>
      <c r="Q716" s="122"/>
    </row>
    <row r="717" spans="6:17" ht="14.25" customHeight="1" x14ac:dyDescent="0.3">
      <c r="F717" s="314"/>
      <c r="G717" s="314"/>
      <c r="I717" s="120"/>
      <c r="P717" s="122"/>
      <c r="Q717" s="122"/>
    </row>
    <row r="718" spans="6:17" ht="14.25" customHeight="1" x14ac:dyDescent="0.3">
      <c r="F718" s="314"/>
      <c r="G718" s="314"/>
      <c r="I718" s="120"/>
      <c r="P718" s="122"/>
      <c r="Q718" s="122"/>
    </row>
    <row r="719" spans="6:17" ht="14.25" customHeight="1" x14ac:dyDescent="0.3">
      <c r="F719" s="314"/>
      <c r="G719" s="314"/>
      <c r="I719" s="120"/>
      <c r="P719" s="122"/>
      <c r="Q719" s="122"/>
    </row>
    <row r="720" spans="6:17" ht="14.25" customHeight="1" x14ac:dyDescent="0.3">
      <c r="F720" s="314"/>
      <c r="G720" s="314"/>
      <c r="I720" s="120"/>
      <c r="P720" s="122"/>
      <c r="Q720" s="122"/>
    </row>
    <row r="721" spans="6:17" ht="14.25" customHeight="1" x14ac:dyDescent="0.3">
      <c r="F721" s="314"/>
      <c r="G721" s="314"/>
      <c r="I721" s="120"/>
      <c r="P721" s="122"/>
      <c r="Q721" s="122"/>
    </row>
    <row r="722" spans="6:17" ht="14.25" customHeight="1" x14ac:dyDescent="0.3">
      <c r="F722" s="314"/>
      <c r="G722" s="314"/>
      <c r="I722" s="120"/>
      <c r="P722" s="122"/>
      <c r="Q722" s="122"/>
    </row>
    <row r="723" spans="6:17" ht="14.25" customHeight="1" x14ac:dyDescent="0.3">
      <c r="F723" s="314"/>
      <c r="G723" s="314"/>
      <c r="I723" s="120"/>
      <c r="P723" s="122"/>
      <c r="Q723" s="122"/>
    </row>
    <row r="724" spans="6:17" ht="14.25" customHeight="1" x14ac:dyDescent="0.3">
      <c r="F724" s="314"/>
      <c r="G724" s="314"/>
      <c r="I724" s="120"/>
      <c r="P724" s="122"/>
      <c r="Q724" s="122"/>
    </row>
    <row r="725" spans="6:17" ht="14.25" customHeight="1" x14ac:dyDescent="0.3">
      <c r="F725" s="314"/>
      <c r="G725" s="314"/>
      <c r="I725" s="120"/>
      <c r="P725" s="122"/>
      <c r="Q725" s="122"/>
    </row>
    <row r="726" spans="6:17" ht="14.25" customHeight="1" x14ac:dyDescent="0.3">
      <c r="F726" s="314"/>
      <c r="G726" s="314"/>
      <c r="I726" s="120"/>
      <c r="P726" s="122"/>
      <c r="Q726" s="122"/>
    </row>
    <row r="727" spans="6:17" ht="14.25" customHeight="1" x14ac:dyDescent="0.3">
      <c r="F727" s="314"/>
      <c r="G727" s="314"/>
      <c r="I727" s="120"/>
      <c r="P727" s="122"/>
      <c r="Q727" s="122"/>
    </row>
    <row r="728" spans="6:17" ht="14.25" customHeight="1" x14ac:dyDescent="0.3">
      <c r="F728" s="314"/>
      <c r="G728" s="314"/>
      <c r="I728" s="120"/>
      <c r="P728" s="122"/>
      <c r="Q728" s="122"/>
    </row>
    <row r="729" spans="6:17" ht="14.25" customHeight="1" x14ac:dyDescent="0.3">
      <c r="F729" s="314"/>
      <c r="G729" s="314"/>
      <c r="I729" s="120"/>
      <c r="P729" s="122"/>
      <c r="Q729" s="122"/>
    </row>
    <row r="730" spans="6:17" ht="14.25" customHeight="1" x14ac:dyDescent="0.3">
      <c r="F730" s="314"/>
      <c r="G730" s="314"/>
      <c r="I730" s="120"/>
      <c r="P730" s="122"/>
      <c r="Q730" s="122"/>
    </row>
    <row r="731" spans="6:17" ht="14.25" customHeight="1" x14ac:dyDescent="0.3">
      <c r="F731" s="314"/>
      <c r="G731" s="314"/>
      <c r="I731" s="120"/>
      <c r="P731" s="122"/>
      <c r="Q731" s="122"/>
    </row>
    <row r="732" spans="6:17" ht="14.25" customHeight="1" x14ac:dyDescent="0.3">
      <c r="F732" s="314"/>
      <c r="G732" s="314"/>
      <c r="I732" s="120"/>
      <c r="P732" s="122"/>
      <c r="Q732" s="122"/>
    </row>
    <row r="733" spans="6:17" ht="14.25" customHeight="1" x14ac:dyDescent="0.3">
      <c r="F733" s="314"/>
      <c r="G733" s="314"/>
      <c r="I733" s="120"/>
      <c r="P733" s="122"/>
      <c r="Q733" s="122"/>
    </row>
    <row r="734" spans="6:17" ht="14.25" customHeight="1" x14ac:dyDescent="0.3">
      <c r="F734" s="314"/>
      <c r="G734" s="314"/>
      <c r="I734" s="120"/>
      <c r="P734" s="122"/>
      <c r="Q734" s="122"/>
    </row>
    <row r="735" spans="6:17" ht="14.25" customHeight="1" x14ac:dyDescent="0.3">
      <c r="F735" s="314"/>
      <c r="G735" s="314"/>
      <c r="I735" s="120"/>
      <c r="P735" s="122"/>
      <c r="Q735" s="122"/>
    </row>
    <row r="736" spans="6:17" ht="14.25" customHeight="1" x14ac:dyDescent="0.3">
      <c r="F736" s="314"/>
      <c r="G736" s="314"/>
      <c r="I736" s="120"/>
      <c r="P736" s="122"/>
      <c r="Q736" s="122"/>
    </row>
    <row r="737" spans="6:17" ht="14.25" customHeight="1" x14ac:dyDescent="0.3">
      <c r="F737" s="314"/>
      <c r="G737" s="314"/>
      <c r="I737" s="120"/>
      <c r="P737" s="122"/>
      <c r="Q737" s="122"/>
    </row>
    <row r="738" spans="6:17" ht="14.25" customHeight="1" x14ac:dyDescent="0.3">
      <c r="F738" s="314"/>
      <c r="G738" s="314"/>
      <c r="I738" s="120"/>
      <c r="P738" s="122"/>
      <c r="Q738" s="122"/>
    </row>
    <row r="739" spans="6:17" ht="14.25" customHeight="1" x14ac:dyDescent="0.3">
      <c r="F739" s="314"/>
      <c r="G739" s="314"/>
      <c r="I739" s="120"/>
      <c r="P739" s="122"/>
      <c r="Q739" s="122"/>
    </row>
    <row r="740" spans="6:17" ht="14.25" customHeight="1" x14ac:dyDescent="0.3">
      <c r="F740" s="314"/>
      <c r="G740" s="314"/>
      <c r="I740" s="120"/>
      <c r="P740" s="122"/>
      <c r="Q740" s="122"/>
    </row>
    <row r="741" spans="6:17" ht="14.25" customHeight="1" x14ac:dyDescent="0.3">
      <c r="F741" s="314"/>
      <c r="G741" s="314"/>
      <c r="I741" s="120"/>
      <c r="P741" s="122"/>
      <c r="Q741" s="122"/>
    </row>
    <row r="742" spans="6:17" ht="14.25" customHeight="1" x14ac:dyDescent="0.3">
      <c r="F742" s="314"/>
      <c r="G742" s="314"/>
      <c r="I742" s="120"/>
      <c r="P742" s="122"/>
      <c r="Q742" s="122"/>
    </row>
    <row r="743" spans="6:17" ht="14.25" customHeight="1" x14ac:dyDescent="0.3">
      <c r="F743" s="314"/>
      <c r="G743" s="314"/>
      <c r="I743" s="120"/>
      <c r="P743" s="122"/>
      <c r="Q743" s="122"/>
    </row>
    <row r="744" spans="6:17" ht="14.25" customHeight="1" x14ac:dyDescent="0.3">
      <c r="F744" s="314"/>
      <c r="G744" s="314"/>
      <c r="I744" s="120"/>
      <c r="P744" s="122"/>
      <c r="Q744" s="122"/>
    </row>
    <row r="745" spans="6:17" ht="14.25" customHeight="1" x14ac:dyDescent="0.3">
      <c r="F745" s="314"/>
      <c r="G745" s="314"/>
      <c r="I745" s="120"/>
      <c r="P745" s="122"/>
      <c r="Q745" s="122"/>
    </row>
    <row r="746" spans="6:17" ht="14.25" customHeight="1" x14ac:dyDescent="0.3">
      <c r="F746" s="314"/>
      <c r="G746" s="314"/>
      <c r="I746" s="120"/>
      <c r="P746" s="122"/>
      <c r="Q746" s="122"/>
    </row>
    <row r="747" spans="6:17" ht="14.25" customHeight="1" x14ac:dyDescent="0.3">
      <c r="F747" s="314"/>
      <c r="G747" s="314"/>
      <c r="I747" s="120"/>
      <c r="P747" s="122"/>
      <c r="Q747" s="122"/>
    </row>
    <row r="748" spans="6:17" ht="14.25" customHeight="1" x14ac:dyDescent="0.3">
      <c r="F748" s="314"/>
      <c r="G748" s="314"/>
      <c r="I748" s="120"/>
      <c r="P748" s="122"/>
      <c r="Q748" s="122"/>
    </row>
    <row r="749" spans="6:17" ht="14.25" customHeight="1" x14ac:dyDescent="0.3">
      <c r="F749" s="314"/>
      <c r="G749" s="314"/>
      <c r="I749" s="120"/>
      <c r="P749" s="122"/>
      <c r="Q749" s="122"/>
    </row>
    <row r="750" spans="6:17" ht="14.25" customHeight="1" x14ac:dyDescent="0.3">
      <c r="F750" s="314"/>
      <c r="G750" s="314"/>
      <c r="I750" s="120"/>
      <c r="P750" s="122"/>
      <c r="Q750" s="122"/>
    </row>
    <row r="751" spans="6:17" ht="14.25" customHeight="1" x14ac:dyDescent="0.3">
      <c r="F751" s="314"/>
      <c r="G751" s="314"/>
      <c r="I751" s="120"/>
      <c r="P751" s="122"/>
      <c r="Q751" s="122"/>
    </row>
    <row r="752" spans="6:17" ht="14.25" customHeight="1" x14ac:dyDescent="0.3">
      <c r="F752" s="314"/>
      <c r="G752" s="314"/>
      <c r="I752" s="120"/>
      <c r="P752" s="122"/>
      <c r="Q752" s="122"/>
    </row>
    <row r="753" spans="6:17" ht="14.25" customHeight="1" x14ac:dyDescent="0.3">
      <c r="F753" s="314"/>
      <c r="G753" s="314"/>
      <c r="I753" s="120"/>
      <c r="P753" s="122"/>
      <c r="Q753" s="122"/>
    </row>
    <row r="754" spans="6:17" ht="14.25" customHeight="1" x14ac:dyDescent="0.3">
      <c r="F754" s="314"/>
      <c r="G754" s="314"/>
      <c r="I754" s="120"/>
      <c r="P754" s="122"/>
      <c r="Q754" s="122"/>
    </row>
    <row r="755" spans="6:17" ht="14.25" customHeight="1" x14ac:dyDescent="0.3">
      <c r="F755" s="314"/>
      <c r="G755" s="314"/>
      <c r="I755" s="120"/>
      <c r="P755" s="122"/>
      <c r="Q755" s="122"/>
    </row>
    <row r="756" spans="6:17" ht="14.25" customHeight="1" x14ac:dyDescent="0.3">
      <c r="F756" s="314"/>
      <c r="G756" s="314"/>
      <c r="I756" s="120"/>
      <c r="P756" s="122"/>
      <c r="Q756" s="122"/>
    </row>
    <row r="757" spans="6:17" ht="14.25" customHeight="1" x14ac:dyDescent="0.3">
      <c r="F757" s="314"/>
      <c r="G757" s="314"/>
      <c r="I757" s="120"/>
      <c r="P757" s="122"/>
      <c r="Q757" s="122"/>
    </row>
    <row r="758" spans="6:17" ht="14.25" customHeight="1" x14ac:dyDescent="0.3">
      <c r="F758" s="314"/>
      <c r="G758" s="314"/>
      <c r="I758" s="120"/>
      <c r="P758" s="122"/>
      <c r="Q758" s="122"/>
    </row>
    <row r="759" spans="6:17" ht="14.25" customHeight="1" x14ac:dyDescent="0.3">
      <c r="F759" s="314"/>
      <c r="G759" s="314"/>
      <c r="I759" s="120"/>
      <c r="P759" s="122"/>
      <c r="Q759" s="122"/>
    </row>
    <row r="760" spans="6:17" ht="14.25" customHeight="1" x14ac:dyDescent="0.3">
      <c r="F760" s="314"/>
      <c r="G760" s="314"/>
      <c r="I760" s="120"/>
      <c r="P760" s="122"/>
      <c r="Q760" s="122"/>
    </row>
    <row r="761" spans="6:17" ht="14.25" customHeight="1" x14ac:dyDescent="0.3">
      <c r="F761" s="314"/>
      <c r="G761" s="314"/>
      <c r="I761" s="120"/>
      <c r="P761" s="122"/>
      <c r="Q761" s="122"/>
    </row>
    <row r="762" spans="6:17" ht="14.25" customHeight="1" x14ac:dyDescent="0.3">
      <c r="F762" s="314"/>
      <c r="G762" s="314"/>
      <c r="I762" s="120"/>
      <c r="P762" s="122"/>
      <c r="Q762" s="122"/>
    </row>
    <row r="763" spans="6:17" ht="14.25" customHeight="1" x14ac:dyDescent="0.3">
      <c r="F763" s="314"/>
      <c r="G763" s="314"/>
      <c r="I763" s="120"/>
      <c r="P763" s="122"/>
      <c r="Q763" s="122"/>
    </row>
    <row r="764" spans="6:17" ht="14.25" customHeight="1" x14ac:dyDescent="0.3">
      <c r="F764" s="314"/>
      <c r="G764" s="314"/>
      <c r="I764" s="120"/>
      <c r="P764" s="122"/>
      <c r="Q764" s="122"/>
    </row>
    <row r="765" spans="6:17" ht="14.25" customHeight="1" x14ac:dyDescent="0.3">
      <c r="F765" s="314"/>
      <c r="G765" s="314"/>
      <c r="I765" s="120"/>
      <c r="P765" s="122"/>
      <c r="Q765" s="122"/>
    </row>
    <row r="766" spans="6:17" ht="14.25" customHeight="1" x14ac:dyDescent="0.3">
      <c r="F766" s="314"/>
      <c r="G766" s="314"/>
      <c r="I766" s="120"/>
      <c r="P766" s="122"/>
      <c r="Q766" s="122"/>
    </row>
    <row r="767" spans="6:17" ht="14.25" customHeight="1" x14ac:dyDescent="0.3">
      <c r="F767" s="314"/>
      <c r="G767" s="314"/>
      <c r="I767" s="120"/>
      <c r="P767" s="122"/>
      <c r="Q767" s="122"/>
    </row>
    <row r="768" spans="6:17" ht="14.25" customHeight="1" x14ac:dyDescent="0.3">
      <c r="F768" s="314"/>
      <c r="G768" s="314"/>
      <c r="I768" s="120"/>
      <c r="P768" s="122"/>
      <c r="Q768" s="122"/>
    </row>
    <row r="769" spans="6:17" ht="14.25" customHeight="1" x14ac:dyDescent="0.3">
      <c r="F769" s="314"/>
      <c r="G769" s="314"/>
      <c r="I769" s="120"/>
      <c r="P769" s="122"/>
      <c r="Q769" s="122"/>
    </row>
    <row r="770" spans="6:17" ht="14.25" customHeight="1" x14ac:dyDescent="0.3">
      <c r="F770" s="314"/>
      <c r="G770" s="314"/>
      <c r="I770" s="120"/>
      <c r="P770" s="122"/>
      <c r="Q770" s="122"/>
    </row>
    <row r="771" spans="6:17" ht="14.25" customHeight="1" x14ac:dyDescent="0.3">
      <c r="F771" s="314"/>
      <c r="G771" s="314"/>
      <c r="I771" s="120"/>
      <c r="P771" s="122"/>
      <c r="Q771" s="122"/>
    </row>
    <row r="772" spans="6:17" ht="14.25" customHeight="1" x14ac:dyDescent="0.3">
      <c r="F772" s="314"/>
      <c r="G772" s="314"/>
      <c r="I772" s="120"/>
      <c r="P772" s="122"/>
      <c r="Q772" s="122"/>
    </row>
    <row r="773" spans="6:17" ht="14.25" customHeight="1" x14ac:dyDescent="0.3">
      <c r="F773" s="314"/>
      <c r="G773" s="314"/>
      <c r="I773" s="120"/>
      <c r="P773" s="122"/>
      <c r="Q773" s="122"/>
    </row>
    <row r="774" spans="6:17" ht="14.25" customHeight="1" x14ac:dyDescent="0.3">
      <c r="F774" s="314"/>
      <c r="G774" s="314"/>
      <c r="I774" s="120"/>
      <c r="P774" s="122"/>
      <c r="Q774" s="122"/>
    </row>
    <row r="775" spans="6:17" ht="14.25" customHeight="1" x14ac:dyDescent="0.3">
      <c r="F775" s="314"/>
      <c r="G775" s="314"/>
      <c r="I775" s="120"/>
      <c r="P775" s="122"/>
      <c r="Q775" s="122"/>
    </row>
    <row r="776" spans="6:17" ht="14.25" customHeight="1" x14ac:dyDescent="0.3">
      <c r="F776" s="314"/>
      <c r="G776" s="314"/>
      <c r="I776" s="120"/>
      <c r="P776" s="122"/>
      <c r="Q776" s="122"/>
    </row>
    <row r="777" spans="6:17" ht="14.25" customHeight="1" x14ac:dyDescent="0.3">
      <c r="F777" s="314"/>
      <c r="G777" s="314"/>
      <c r="I777" s="120"/>
      <c r="P777" s="122"/>
      <c r="Q777" s="122"/>
    </row>
    <row r="778" spans="6:17" ht="14.25" customHeight="1" x14ac:dyDescent="0.3">
      <c r="F778" s="314"/>
      <c r="G778" s="314"/>
      <c r="I778" s="120"/>
      <c r="P778" s="122"/>
      <c r="Q778" s="122"/>
    </row>
    <row r="779" spans="6:17" ht="14.25" customHeight="1" x14ac:dyDescent="0.3">
      <c r="F779" s="314"/>
      <c r="G779" s="314"/>
      <c r="I779" s="120"/>
      <c r="P779" s="122"/>
      <c r="Q779" s="122"/>
    </row>
    <row r="780" spans="6:17" ht="14.25" customHeight="1" x14ac:dyDescent="0.3">
      <c r="F780" s="314"/>
      <c r="G780" s="314"/>
      <c r="I780" s="120"/>
      <c r="P780" s="122"/>
      <c r="Q780" s="122"/>
    </row>
    <row r="781" spans="6:17" ht="14.25" customHeight="1" x14ac:dyDescent="0.3">
      <c r="F781" s="314"/>
      <c r="G781" s="314"/>
      <c r="I781" s="120"/>
      <c r="P781" s="122"/>
      <c r="Q781" s="122"/>
    </row>
    <row r="782" spans="6:17" ht="14.25" customHeight="1" x14ac:dyDescent="0.3">
      <c r="F782" s="314"/>
      <c r="G782" s="314"/>
      <c r="I782" s="120"/>
      <c r="P782" s="122"/>
      <c r="Q782" s="122"/>
    </row>
    <row r="783" spans="6:17" ht="14.25" customHeight="1" x14ac:dyDescent="0.3">
      <c r="F783" s="314"/>
      <c r="G783" s="314"/>
      <c r="I783" s="120"/>
      <c r="P783" s="122"/>
      <c r="Q783" s="122"/>
    </row>
    <row r="784" spans="6:17" ht="14.25" customHeight="1" x14ac:dyDescent="0.3">
      <c r="F784" s="314"/>
      <c r="G784" s="314"/>
      <c r="I784" s="120"/>
      <c r="P784" s="122"/>
      <c r="Q784" s="122"/>
    </row>
    <row r="785" spans="6:17" ht="14.25" customHeight="1" x14ac:dyDescent="0.3">
      <c r="F785" s="314"/>
      <c r="G785" s="314"/>
      <c r="I785" s="120"/>
      <c r="P785" s="122"/>
      <c r="Q785" s="122"/>
    </row>
    <row r="786" spans="6:17" ht="14.25" customHeight="1" x14ac:dyDescent="0.3">
      <c r="F786" s="314"/>
      <c r="G786" s="314"/>
      <c r="I786" s="120"/>
      <c r="P786" s="122"/>
      <c r="Q786" s="122"/>
    </row>
    <row r="787" spans="6:17" ht="14.25" customHeight="1" x14ac:dyDescent="0.3">
      <c r="F787" s="314"/>
      <c r="G787" s="314"/>
      <c r="I787" s="120"/>
      <c r="P787" s="122"/>
      <c r="Q787" s="122"/>
    </row>
    <row r="788" spans="6:17" ht="14.25" customHeight="1" x14ac:dyDescent="0.3">
      <c r="F788" s="314"/>
      <c r="G788" s="314"/>
      <c r="I788" s="120"/>
      <c r="P788" s="122"/>
      <c r="Q788" s="122"/>
    </row>
    <row r="789" spans="6:17" ht="14.25" customHeight="1" x14ac:dyDescent="0.3">
      <c r="F789" s="314"/>
      <c r="G789" s="314"/>
      <c r="I789" s="120"/>
      <c r="P789" s="122"/>
      <c r="Q789" s="122"/>
    </row>
    <row r="790" spans="6:17" ht="14.25" customHeight="1" x14ac:dyDescent="0.3">
      <c r="F790" s="314"/>
      <c r="G790" s="314"/>
      <c r="I790" s="120"/>
      <c r="P790" s="122"/>
      <c r="Q790" s="122"/>
    </row>
    <row r="791" spans="6:17" ht="14.25" customHeight="1" x14ac:dyDescent="0.3">
      <c r="F791" s="314"/>
      <c r="G791" s="314"/>
      <c r="I791" s="120"/>
      <c r="P791" s="122"/>
      <c r="Q791" s="122"/>
    </row>
    <row r="792" spans="6:17" ht="14.25" customHeight="1" x14ac:dyDescent="0.3">
      <c r="F792" s="314"/>
      <c r="G792" s="314"/>
      <c r="I792" s="120"/>
      <c r="P792" s="122"/>
      <c r="Q792" s="122"/>
    </row>
    <row r="793" spans="6:17" ht="14.25" customHeight="1" x14ac:dyDescent="0.3">
      <c r="F793" s="314"/>
      <c r="G793" s="314"/>
      <c r="I793" s="120"/>
      <c r="P793" s="122"/>
      <c r="Q793" s="122"/>
    </row>
    <row r="794" spans="6:17" ht="14.25" customHeight="1" x14ac:dyDescent="0.3">
      <c r="F794" s="314"/>
      <c r="G794" s="314"/>
      <c r="I794" s="120"/>
      <c r="P794" s="122"/>
      <c r="Q794" s="122"/>
    </row>
    <row r="795" spans="6:17" ht="14.25" customHeight="1" x14ac:dyDescent="0.3">
      <c r="F795" s="314"/>
      <c r="G795" s="314"/>
      <c r="I795" s="120"/>
      <c r="P795" s="122"/>
      <c r="Q795" s="122"/>
    </row>
    <row r="796" spans="6:17" ht="14.25" customHeight="1" x14ac:dyDescent="0.3">
      <c r="F796" s="314"/>
      <c r="G796" s="314"/>
      <c r="I796" s="120"/>
      <c r="P796" s="122"/>
      <c r="Q796" s="122"/>
    </row>
    <row r="797" spans="6:17" ht="14.25" customHeight="1" x14ac:dyDescent="0.3">
      <c r="F797" s="314"/>
      <c r="G797" s="314"/>
      <c r="I797" s="120"/>
      <c r="P797" s="122"/>
      <c r="Q797" s="122"/>
    </row>
    <row r="798" spans="6:17" ht="14.25" customHeight="1" x14ac:dyDescent="0.3">
      <c r="F798" s="314"/>
      <c r="G798" s="314"/>
      <c r="I798" s="120"/>
      <c r="P798" s="122"/>
      <c r="Q798" s="122"/>
    </row>
    <row r="799" spans="6:17" ht="14.25" customHeight="1" x14ac:dyDescent="0.3">
      <c r="F799" s="314"/>
      <c r="G799" s="314"/>
      <c r="I799" s="120"/>
      <c r="P799" s="122"/>
      <c r="Q799" s="122"/>
    </row>
    <row r="800" spans="6:17" ht="14.25" customHeight="1" x14ac:dyDescent="0.3">
      <c r="F800" s="314"/>
      <c r="G800" s="314"/>
      <c r="I800" s="120"/>
      <c r="P800" s="122"/>
      <c r="Q800" s="122"/>
    </row>
    <row r="801" spans="6:17" ht="14.25" customHeight="1" x14ac:dyDescent="0.3">
      <c r="F801" s="314"/>
      <c r="G801" s="314"/>
      <c r="I801" s="120"/>
      <c r="P801" s="122"/>
      <c r="Q801" s="122"/>
    </row>
    <row r="802" spans="6:17" ht="14.25" customHeight="1" x14ac:dyDescent="0.3">
      <c r="F802" s="314"/>
      <c r="G802" s="314"/>
      <c r="I802" s="120"/>
      <c r="P802" s="122"/>
      <c r="Q802" s="122"/>
    </row>
    <row r="803" spans="6:17" ht="14.25" customHeight="1" x14ac:dyDescent="0.3">
      <c r="F803" s="314"/>
      <c r="G803" s="314"/>
      <c r="I803" s="120"/>
      <c r="P803" s="122"/>
      <c r="Q803" s="122"/>
    </row>
    <row r="804" spans="6:17" ht="14.25" customHeight="1" x14ac:dyDescent="0.3">
      <c r="F804" s="314"/>
      <c r="G804" s="314"/>
      <c r="I804" s="120"/>
      <c r="P804" s="122"/>
      <c r="Q804" s="122"/>
    </row>
    <row r="805" spans="6:17" ht="14.25" customHeight="1" x14ac:dyDescent="0.3">
      <c r="F805" s="314"/>
      <c r="G805" s="314"/>
      <c r="I805" s="120"/>
      <c r="P805" s="122"/>
      <c r="Q805" s="122"/>
    </row>
    <row r="806" spans="6:17" ht="14.25" customHeight="1" x14ac:dyDescent="0.3">
      <c r="F806" s="314"/>
      <c r="G806" s="314"/>
      <c r="I806" s="120"/>
      <c r="P806" s="122"/>
      <c r="Q806" s="122"/>
    </row>
    <row r="807" spans="6:17" ht="14.25" customHeight="1" x14ac:dyDescent="0.3">
      <c r="F807" s="314"/>
      <c r="G807" s="314"/>
      <c r="I807" s="120"/>
      <c r="P807" s="122"/>
      <c r="Q807" s="122"/>
    </row>
    <row r="808" spans="6:17" ht="14.25" customHeight="1" x14ac:dyDescent="0.3">
      <c r="F808" s="314"/>
      <c r="G808" s="314"/>
      <c r="I808" s="120"/>
      <c r="P808" s="122"/>
      <c r="Q808" s="122"/>
    </row>
    <row r="809" spans="6:17" ht="14.25" customHeight="1" x14ac:dyDescent="0.3">
      <c r="F809" s="314"/>
      <c r="G809" s="314"/>
      <c r="I809" s="120"/>
      <c r="P809" s="122"/>
      <c r="Q809" s="122"/>
    </row>
    <row r="810" spans="6:17" ht="14.25" customHeight="1" x14ac:dyDescent="0.3">
      <c r="F810" s="314"/>
      <c r="G810" s="314"/>
      <c r="I810" s="120"/>
      <c r="P810" s="122"/>
      <c r="Q810" s="122"/>
    </row>
    <row r="811" spans="6:17" ht="14.25" customHeight="1" x14ac:dyDescent="0.3">
      <c r="F811" s="314"/>
      <c r="G811" s="314"/>
      <c r="I811" s="120"/>
      <c r="P811" s="122"/>
      <c r="Q811" s="122"/>
    </row>
    <row r="812" spans="6:17" ht="14.25" customHeight="1" x14ac:dyDescent="0.3">
      <c r="F812" s="314"/>
      <c r="G812" s="314"/>
      <c r="I812" s="120"/>
      <c r="P812" s="122"/>
      <c r="Q812" s="122"/>
    </row>
    <row r="813" spans="6:17" ht="14.25" customHeight="1" x14ac:dyDescent="0.3">
      <c r="F813" s="314"/>
      <c r="G813" s="314"/>
      <c r="I813" s="120"/>
      <c r="P813" s="122"/>
      <c r="Q813" s="122"/>
    </row>
    <row r="814" spans="6:17" ht="14.25" customHeight="1" x14ac:dyDescent="0.3">
      <c r="F814" s="314"/>
      <c r="G814" s="314"/>
      <c r="I814" s="120"/>
      <c r="P814" s="122"/>
      <c r="Q814" s="122"/>
    </row>
    <row r="815" spans="6:17" ht="14.25" customHeight="1" x14ac:dyDescent="0.3">
      <c r="F815" s="314"/>
      <c r="G815" s="314"/>
      <c r="I815" s="120"/>
      <c r="P815" s="122"/>
      <c r="Q815" s="122"/>
    </row>
    <row r="816" spans="6:17" ht="14.25" customHeight="1" x14ac:dyDescent="0.3">
      <c r="F816" s="314"/>
      <c r="G816" s="314"/>
      <c r="I816" s="120"/>
      <c r="P816" s="122"/>
      <c r="Q816" s="122"/>
    </row>
    <row r="817" spans="6:17" ht="14.25" customHeight="1" x14ac:dyDescent="0.3">
      <c r="F817" s="314"/>
      <c r="G817" s="314"/>
      <c r="I817" s="120"/>
      <c r="P817" s="122"/>
      <c r="Q817" s="122"/>
    </row>
    <row r="818" spans="6:17" ht="14.25" customHeight="1" x14ac:dyDescent="0.3">
      <c r="F818" s="314"/>
      <c r="G818" s="314"/>
      <c r="I818" s="120"/>
      <c r="P818" s="122"/>
      <c r="Q818" s="122"/>
    </row>
    <row r="819" spans="6:17" ht="14.25" customHeight="1" x14ac:dyDescent="0.3">
      <c r="F819" s="314"/>
      <c r="G819" s="314"/>
      <c r="I819" s="120"/>
      <c r="P819" s="122"/>
      <c r="Q819" s="122"/>
    </row>
    <row r="820" spans="6:17" ht="14.25" customHeight="1" x14ac:dyDescent="0.3">
      <c r="F820" s="314"/>
      <c r="G820" s="314"/>
      <c r="I820" s="120"/>
      <c r="P820" s="122"/>
      <c r="Q820" s="122"/>
    </row>
    <row r="821" spans="6:17" ht="14.25" customHeight="1" x14ac:dyDescent="0.3">
      <c r="F821" s="314"/>
      <c r="G821" s="314"/>
      <c r="I821" s="120"/>
      <c r="P821" s="122"/>
      <c r="Q821" s="122"/>
    </row>
    <row r="822" spans="6:17" ht="14.25" customHeight="1" x14ac:dyDescent="0.3">
      <c r="F822" s="314"/>
      <c r="G822" s="314"/>
      <c r="I822" s="120"/>
      <c r="P822" s="122"/>
      <c r="Q822" s="122"/>
    </row>
    <row r="823" spans="6:17" ht="14.25" customHeight="1" x14ac:dyDescent="0.3">
      <c r="F823" s="314"/>
      <c r="G823" s="314"/>
      <c r="I823" s="120"/>
      <c r="P823" s="122"/>
      <c r="Q823" s="122"/>
    </row>
    <row r="824" spans="6:17" ht="14.25" customHeight="1" x14ac:dyDescent="0.3">
      <c r="F824" s="314"/>
      <c r="G824" s="314"/>
      <c r="I824" s="120"/>
      <c r="P824" s="122"/>
      <c r="Q824" s="122"/>
    </row>
    <row r="825" spans="6:17" ht="14.25" customHeight="1" x14ac:dyDescent="0.3">
      <c r="F825" s="314"/>
      <c r="G825" s="314"/>
      <c r="I825" s="120"/>
      <c r="P825" s="122"/>
      <c r="Q825" s="122"/>
    </row>
    <row r="826" spans="6:17" ht="14.25" customHeight="1" x14ac:dyDescent="0.3">
      <c r="F826" s="314"/>
      <c r="G826" s="314"/>
      <c r="I826" s="120"/>
      <c r="P826" s="122"/>
      <c r="Q826" s="122"/>
    </row>
    <row r="827" spans="6:17" ht="14.25" customHeight="1" x14ac:dyDescent="0.3">
      <c r="F827" s="314"/>
      <c r="G827" s="314"/>
      <c r="I827" s="120"/>
      <c r="P827" s="122"/>
      <c r="Q827" s="122"/>
    </row>
    <row r="828" spans="6:17" ht="14.25" customHeight="1" x14ac:dyDescent="0.3">
      <c r="F828" s="314"/>
      <c r="G828" s="314"/>
      <c r="I828" s="120"/>
      <c r="P828" s="122"/>
      <c r="Q828" s="122"/>
    </row>
    <row r="829" spans="6:17" ht="14.25" customHeight="1" x14ac:dyDescent="0.3">
      <c r="F829" s="314"/>
      <c r="G829" s="314"/>
      <c r="I829" s="120"/>
      <c r="P829" s="122"/>
      <c r="Q829" s="122"/>
    </row>
    <row r="830" spans="6:17" ht="14.25" customHeight="1" x14ac:dyDescent="0.3">
      <c r="F830" s="314"/>
      <c r="G830" s="314"/>
      <c r="I830" s="120"/>
      <c r="P830" s="122"/>
      <c r="Q830" s="122"/>
    </row>
    <row r="831" spans="6:17" ht="14.25" customHeight="1" x14ac:dyDescent="0.3">
      <c r="F831" s="314"/>
      <c r="G831" s="314"/>
      <c r="I831" s="120"/>
      <c r="P831" s="122"/>
      <c r="Q831" s="122"/>
    </row>
    <row r="832" spans="6:17" ht="14.25" customHeight="1" x14ac:dyDescent="0.3">
      <c r="F832" s="314"/>
      <c r="G832" s="314"/>
      <c r="I832" s="120"/>
      <c r="P832" s="122"/>
      <c r="Q832" s="122"/>
    </row>
    <row r="833" spans="6:17" ht="14.25" customHeight="1" x14ac:dyDescent="0.3">
      <c r="F833" s="314"/>
      <c r="G833" s="314"/>
      <c r="I833" s="120"/>
      <c r="P833" s="122"/>
      <c r="Q833" s="122"/>
    </row>
    <row r="834" spans="6:17" ht="14.25" customHeight="1" x14ac:dyDescent="0.3">
      <c r="F834" s="314"/>
      <c r="G834" s="314"/>
      <c r="I834" s="120"/>
      <c r="P834" s="122"/>
      <c r="Q834" s="122"/>
    </row>
    <row r="835" spans="6:17" ht="14.25" customHeight="1" x14ac:dyDescent="0.3">
      <c r="F835" s="314"/>
      <c r="G835" s="314"/>
      <c r="I835" s="120"/>
      <c r="P835" s="122"/>
      <c r="Q835" s="122"/>
    </row>
    <row r="836" spans="6:17" ht="14.25" customHeight="1" x14ac:dyDescent="0.3">
      <c r="F836" s="314"/>
      <c r="G836" s="314"/>
      <c r="I836" s="120"/>
      <c r="P836" s="122"/>
      <c r="Q836" s="122"/>
    </row>
    <row r="837" spans="6:17" ht="14.25" customHeight="1" x14ac:dyDescent="0.3">
      <c r="F837" s="314"/>
      <c r="G837" s="314"/>
      <c r="I837" s="120"/>
      <c r="P837" s="122"/>
      <c r="Q837" s="122"/>
    </row>
    <row r="838" spans="6:17" ht="14.25" customHeight="1" x14ac:dyDescent="0.3">
      <c r="F838" s="314"/>
      <c r="G838" s="314"/>
      <c r="I838" s="120"/>
      <c r="P838" s="122"/>
      <c r="Q838" s="122"/>
    </row>
    <row r="839" spans="6:17" ht="14.25" customHeight="1" x14ac:dyDescent="0.3">
      <c r="F839" s="314"/>
      <c r="G839" s="314"/>
      <c r="I839" s="120"/>
      <c r="P839" s="122"/>
      <c r="Q839" s="122"/>
    </row>
    <row r="840" spans="6:17" ht="14.25" customHeight="1" x14ac:dyDescent="0.3">
      <c r="F840" s="314"/>
      <c r="G840" s="314"/>
      <c r="I840" s="120"/>
      <c r="P840" s="122"/>
      <c r="Q840" s="122"/>
    </row>
    <row r="841" spans="6:17" ht="14.25" customHeight="1" x14ac:dyDescent="0.3">
      <c r="F841" s="314"/>
      <c r="G841" s="314"/>
      <c r="I841" s="120"/>
      <c r="P841" s="122"/>
      <c r="Q841" s="122"/>
    </row>
    <row r="842" spans="6:17" ht="14.25" customHeight="1" x14ac:dyDescent="0.3">
      <c r="F842" s="314"/>
      <c r="G842" s="314"/>
      <c r="I842" s="120"/>
      <c r="P842" s="122"/>
      <c r="Q842" s="122"/>
    </row>
    <row r="843" spans="6:17" ht="14.25" customHeight="1" x14ac:dyDescent="0.3">
      <c r="F843" s="314"/>
      <c r="G843" s="314"/>
      <c r="I843" s="120"/>
      <c r="P843" s="122"/>
      <c r="Q843" s="122"/>
    </row>
    <row r="844" spans="6:17" ht="14.25" customHeight="1" x14ac:dyDescent="0.3">
      <c r="F844" s="314"/>
      <c r="G844" s="314"/>
      <c r="I844" s="120"/>
      <c r="P844" s="122"/>
      <c r="Q844" s="122"/>
    </row>
    <row r="845" spans="6:17" ht="14.25" customHeight="1" x14ac:dyDescent="0.3">
      <c r="F845" s="314"/>
      <c r="G845" s="314"/>
      <c r="I845" s="120"/>
      <c r="P845" s="122"/>
      <c r="Q845" s="122"/>
    </row>
    <row r="846" spans="6:17" ht="14.25" customHeight="1" x14ac:dyDescent="0.3">
      <c r="F846" s="314"/>
      <c r="G846" s="314"/>
      <c r="I846" s="120"/>
      <c r="P846" s="122"/>
      <c r="Q846" s="122"/>
    </row>
    <row r="847" spans="6:17" ht="14.25" customHeight="1" x14ac:dyDescent="0.3">
      <c r="F847" s="314"/>
      <c r="G847" s="314"/>
      <c r="I847" s="120"/>
      <c r="P847" s="122"/>
      <c r="Q847" s="122"/>
    </row>
    <row r="848" spans="6:17" ht="14.25" customHeight="1" x14ac:dyDescent="0.3">
      <c r="F848" s="314"/>
      <c r="G848" s="314"/>
      <c r="I848" s="120"/>
      <c r="P848" s="122"/>
      <c r="Q848" s="122"/>
    </row>
    <row r="849" spans="6:17" ht="14.25" customHeight="1" x14ac:dyDescent="0.3">
      <c r="F849" s="314"/>
      <c r="G849" s="314"/>
      <c r="I849" s="120"/>
      <c r="P849" s="122"/>
      <c r="Q849" s="122"/>
    </row>
    <row r="850" spans="6:17" ht="14.25" customHeight="1" x14ac:dyDescent="0.3">
      <c r="F850" s="314"/>
      <c r="G850" s="314"/>
      <c r="I850" s="120"/>
      <c r="P850" s="122"/>
      <c r="Q850" s="122"/>
    </row>
    <row r="851" spans="6:17" ht="14.25" customHeight="1" x14ac:dyDescent="0.3">
      <c r="F851" s="314"/>
      <c r="G851" s="314"/>
      <c r="I851" s="120"/>
      <c r="P851" s="122"/>
      <c r="Q851" s="122"/>
    </row>
    <row r="852" spans="6:17" ht="14.25" customHeight="1" x14ac:dyDescent="0.3">
      <c r="F852" s="314"/>
      <c r="G852" s="314"/>
      <c r="I852" s="120"/>
      <c r="P852" s="122"/>
      <c r="Q852" s="122"/>
    </row>
    <row r="853" spans="6:17" ht="14.25" customHeight="1" x14ac:dyDescent="0.3">
      <c r="F853" s="314"/>
      <c r="G853" s="314"/>
      <c r="I853" s="120"/>
      <c r="P853" s="122"/>
      <c r="Q853" s="122"/>
    </row>
    <row r="854" spans="6:17" ht="14.25" customHeight="1" x14ac:dyDescent="0.3">
      <c r="F854" s="314"/>
      <c r="G854" s="314"/>
      <c r="I854" s="120"/>
      <c r="P854" s="122"/>
      <c r="Q854" s="122"/>
    </row>
    <row r="855" spans="6:17" ht="14.25" customHeight="1" x14ac:dyDescent="0.3">
      <c r="F855" s="314"/>
      <c r="G855" s="314"/>
      <c r="I855" s="120"/>
      <c r="P855" s="122"/>
      <c r="Q855" s="122"/>
    </row>
    <row r="856" spans="6:17" ht="14.25" customHeight="1" x14ac:dyDescent="0.3">
      <c r="F856" s="314"/>
      <c r="G856" s="314"/>
      <c r="I856" s="120"/>
      <c r="P856" s="122"/>
      <c r="Q856" s="122"/>
    </row>
    <row r="857" spans="6:17" ht="14.25" customHeight="1" x14ac:dyDescent="0.3">
      <c r="F857" s="314"/>
      <c r="G857" s="314"/>
      <c r="I857" s="120"/>
      <c r="P857" s="122"/>
      <c r="Q857" s="122"/>
    </row>
    <row r="858" spans="6:17" ht="14.25" customHeight="1" x14ac:dyDescent="0.3">
      <c r="F858" s="314"/>
      <c r="G858" s="314"/>
      <c r="I858" s="120"/>
      <c r="P858" s="122"/>
      <c r="Q858" s="122"/>
    </row>
    <row r="859" spans="6:17" ht="14.25" customHeight="1" x14ac:dyDescent="0.3">
      <c r="F859" s="314"/>
      <c r="G859" s="314"/>
      <c r="I859" s="120"/>
      <c r="P859" s="122"/>
      <c r="Q859" s="122"/>
    </row>
    <row r="860" spans="6:17" ht="14.25" customHeight="1" x14ac:dyDescent="0.3">
      <c r="F860" s="314"/>
      <c r="G860" s="314"/>
      <c r="I860" s="120"/>
      <c r="P860" s="122"/>
      <c r="Q860" s="122"/>
    </row>
    <row r="861" spans="6:17" ht="14.25" customHeight="1" x14ac:dyDescent="0.3">
      <c r="F861" s="314"/>
      <c r="G861" s="314"/>
      <c r="I861" s="120"/>
      <c r="P861" s="122"/>
      <c r="Q861" s="122"/>
    </row>
    <row r="862" spans="6:17" ht="14.25" customHeight="1" x14ac:dyDescent="0.3">
      <c r="F862" s="314"/>
      <c r="G862" s="314"/>
      <c r="I862" s="120"/>
      <c r="P862" s="122"/>
      <c r="Q862" s="122"/>
    </row>
    <row r="863" spans="6:17" ht="14.25" customHeight="1" x14ac:dyDescent="0.3">
      <c r="F863" s="314"/>
      <c r="G863" s="314"/>
      <c r="I863" s="120"/>
      <c r="P863" s="122"/>
      <c r="Q863" s="122"/>
    </row>
    <row r="864" spans="6:17" ht="14.25" customHeight="1" x14ac:dyDescent="0.3">
      <c r="F864" s="314"/>
      <c r="G864" s="314"/>
      <c r="I864" s="120"/>
      <c r="P864" s="122"/>
      <c r="Q864" s="122"/>
    </row>
    <row r="865" spans="6:17" ht="14.25" customHeight="1" x14ac:dyDescent="0.3">
      <c r="F865" s="314"/>
      <c r="G865" s="314"/>
      <c r="I865" s="120"/>
      <c r="P865" s="122"/>
      <c r="Q865" s="122"/>
    </row>
    <row r="866" spans="6:17" ht="14.25" customHeight="1" x14ac:dyDescent="0.3">
      <c r="F866" s="314"/>
      <c r="G866" s="314"/>
      <c r="I866" s="120"/>
      <c r="P866" s="122"/>
      <c r="Q866" s="122"/>
    </row>
    <row r="867" spans="6:17" ht="14.25" customHeight="1" x14ac:dyDescent="0.3">
      <c r="F867" s="314"/>
      <c r="G867" s="314"/>
      <c r="I867" s="120"/>
      <c r="P867" s="122"/>
      <c r="Q867" s="122"/>
    </row>
    <row r="868" spans="6:17" ht="14.25" customHeight="1" x14ac:dyDescent="0.3">
      <c r="F868" s="314"/>
      <c r="G868" s="314"/>
      <c r="I868" s="120"/>
      <c r="P868" s="122"/>
      <c r="Q868" s="122"/>
    </row>
    <row r="869" spans="6:17" ht="14.25" customHeight="1" x14ac:dyDescent="0.3">
      <c r="F869" s="314"/>
      <c r="G869" s="314"/>
      <c r="I869" s="120"/>
      <c r="P869" s="122"/>
      <c r="Q869" s="122"/>
    </row>
    <row r="870" spans="6:17" ht="14.25" customHeight="1" x14ac:dyDescent="0.3">
      <c r="F870" s="314"/>
      <c r="G870" s="314"/>
      <c r="I870" s="120"/>
      <c r="P870" s="122"/>
      <c r="Q870" s="122"/>
    </row>
    <row r="871" spans="6:17" ht="14.25" customHeight="1" x14ac:dyDescent="0.3">
      <c r="F871" s="314"/>
      <c r="G871" s="314"/>
      <c r="I871" s="120"/>
      <c r="P871" s="122"/>
      <c r="Q871" s="122"/>
    </row>
    <row r="872" spans="6:17" ht="14.25" customHeight="1" x14ac:dyDescent="0.3">
      <c r="F872" s="314"/>
      <c r="G872" s="314"/>
      <c r="I872" s="120"/>
      <c r="P872" s="122"/>
      <c r="Q872" s="122"/>
    </row>
    <row r="873" spans="6:17" ht="14.25" customHeight="1" x14ac:dyDescent="0.3">
      <c r="F873" s="314"/>
      <c r="G873" s="314"/>
      <c r="I873" s="120"/>
      <c r="P873" s="122"/>
      <c r="Q873" s="122"/>
    </row>
    <row r="874" spans="6:17" ht="14.25" customHeight="1" x14ac:dyDescent="0.3">
      <c r="F874" s="314"/>
      <c r="G874" s="314"/>
      <c r="I874" s="120"/>
      <c r="P874" s="122"/>
      <c r="Q874" s="122"/>
    </row>
    <row r="875" spans="6:17" ht="14.25" customHeight="1" x14ac:dyDescent="0.3">
      <c r="F875" s="314"/>
      <c r="G875" s="314"/>
      <c r="I875" s="120"/>
      <c r="P875" s="122"/>
      <c r="Q875" s="122"/>
    </row>
    <row r="876" spans="6:17" ht="14.25" customHeight="1" x14ac:dyDescent="0.3">
      <c r="F876" s="314"/>
      <c r="G876" s="314"/>
      <c r="I876" s="120"/>
      <c r="P876" s="122"/>
      <c r="Q876" s="122"/>
    </row>
    <row r="877" spans="6:17" ht="14.25" customHeight="1" x14ac:dyDescent="0.3">
      <c r="F877" s="314"/>
      <c r="G877" s="314"/>
      <c r="I877" s="120"/>
      <c r="P877" s="122"/>
      <c r="Q877" s="122"/>
    </row>
    <row r="878" spans="6:17" ht="14.25" customHeight="1" x14ac:dyDescent="0.3">
      <c r="F878" s="314"/>
      <c r="G878" s="314"/>
      <c r="I878" s="120"/>
      <c r="P878" s="122"/>
      <c r="Q878" s="122"/>
    </row>
    <row r="879" spans="6:17" ht="14.25" customHeight="1" x14ac:dyDescent="0.3">
      <c r="F879" s="314"/>
      <c r="G879" s="314"/>
      <c r="I879" s="120"/>
      <c r="P879" s="122"/>
      <c r="Q879" s="122"/>
    </row>
    <row r="880" spans="6:17" ht="14.25" customHeight="1" x14ac:dyDescent="0.3">
      <c r="F880" s="314"/>
      <c r="G880" s="314"/>
      <c r="I880" s="120"/>
      <c r="P880" s="122"/>
      <c r="Q880" s="122"/>
    </row>
    <row r="881" spans="6:17" ht="14.25" customHeight="1" x14ac:dyDescent="0.3">
      <c r="F881" s="314"/>
      <c r="G881" s="314"/>
      <c r="I881" s="120"/>
      <c r="P881" s="122"/>
      <c r="Q881" s="122"/>
    </row>
    <row r="882" spans="6:17" ht="14.25" customHeight="1" x14ac:dyDescent="0.3">
      <c r="F882" s="314"/>
      <c r="G882" s="314"/>
      <c r="I882" s="120"/>
      <c r="P882" s="122"/>
      <c r="Q882" s="122"/>
    </row>
    <row r="883" spans="6:17" ht="14.25" customHeight="1" x14ac:dyDescent="0.3">
      <c r="F883" s="314"/>
      <c r="G883" s="314"/>
      <c r="I883" s="120"/>
      <c r="P883" s="122"/>
      <c r="Q883" s="122"/>
    </row>
    <row r="884" spans="6:17" ht="14.25" customHeight="1" x14ac:dyDescent="0.3">
      <c r="F884" s="314"/>
      <c r="G884" s="314"/>
      <c r="I884" s="120"/>
      <c r="P884" s="122"/>
      <c r="Q884" s="122"/>
    </row>
    <row r="885" spans="6:17" ht="14.25" customHeight="1" x14ac:dyDescent="0.3">
      <c r="F885" s="314"/>
      <c r="G885" s="314"/>
      <c r="I885" s="120"/>
      <c r="P885" s="122"/>
      <c r="Q885" s="122"/>
    </row>
    <row r="886" spans="6:17" ht="14.25" customHeight="1" x14ac:dyDescent="0.3">
      <c r="F886" s="314"/>
      <c r="G886" s="314"/>
      <c r="I886" s="120"/>
      <c r="P886" s="122"/>
      <c r="Q886" s="122"/>
    </row>
    <row r="887" spans="6:17" ht="14.25" customHeight="1" x14ac:dyDescent="0.3">
      <c r="F887" s="314"/>
      <c r="G887" s="314"/>
      <c r="I887" s="120"/>
      <c r="P887" s="122"/>
      <c r="Q887" s="122"/>
    </row>
    <row r="888" spans="6:17" ht="14.25" customHeight="1" x14ac:dyDescent="0.3">
      <c r="F888" s="314"/>
      <c r="G888" s="314"/>
      <c r="I888" s="120"/>
      <c r="P888" s="122"/>
      <c r="Q888" s="122"/>
    </row>
    <row r="889" spans="6:17" ht="14.25" customHeight="1" x14ac:dyDescent="0.3">
      <c r="F889" s="314"/>
      <c r="G889" s="314"/>
      <c r="I889" s="120"/>
      <c r="P889" s="122"/>
      <c r="Q889" s="122"/>
    </row>
    <row r="890" spans="6:17" ht="14.25" customHeight="1" x14ac:dyDescent="0.3">
      <c r="F890" s="314"/>
      <c r="G890" s="314"/>
      <c r="I890" s="120"/>
      <c r="P890" s="122"/>
      <c r="Q890" s="122"/>
    </row>
    <row r="891" spans="6:17" ht="14.25" customHeight="1" x14ac:dyDescent="0.3">
      <c r="F891" s="314"/>
      <c r="G891" s="314"/>
      <c r="I891" s="120"/>
      <c r="P891" s="122"/>
      <c r="Q891" s="122"/>
    </row>
    <row r="892" spans="6:17" ht="14.25" customHeight="1" x14ac:dyDescent="0.3">
      <c r="F892" s="314"/>
      <c r="G892" s="314"/>
      <c r="I892" s="120"/>
      <c r="P892" s="122"/>
      <c r="Q892" s="122"/>
    </row>
    <row r="893" spans="6:17" ht="14.25" customHeight="1" x14ac:dyDescent="0.3">
      <c r="F893" s="314"/>
      <c r="G893" s="314"/>
      <c r="I893" s="120"/>
      <c r="P893" s="122"/>
      <c r="Q893" s="122"/>
    </row>
    <row r="894" spans="6:17" ht="14.25" customHeight="1" x14ac:dyDescent="0.3">
      <c r="F894" s="314"/>
      <c r="G894" s="314"/>
      <c r="I894" s="120"/>
      <c r="P894" s="122"/>
      <c r="Q894" s="122"/>
    </row>
    <row r="895" spans="6:17" ht="14.25" customHeight="1" x14ac:dyDescent="0.3">
      <c r="F895" s="314"/>
      <c r="G895" s="314"/>
      <c r="I895" s="120"/>
      <c r="P895" s="122"/>
      <c r="Q895" s="122"/>
    </row>
    <row r="896" spans="6:17" ht="14.25" customHeight="1" x14ac:dyDescent="0.3">
      <c r="F896" s="314"/>
      <c r="G896" s="314"/>
      <c r="I896" s="120"/>
      <c r="P896" s="122"/>
      <c r="Q896" s="122"/>
    </row>
    <row r="897" spans="6:17" ht="14.25" customHeight="1" x14ac:dyDescent="0.3">
      <c r="F897" s="314"/>
      <c r="G897" s="314"/>
      <c r="I897" s="120"/>
      <c r="P897" s="122"/>
      <c r="Q897" s="122"/>
    </row>
    <row r="898" spans="6:17" ht="14.25" customHeight="1" x14ac:dyDescent="0.3">
      <c r="F898" s="314"/>
      <c r="G898" s="314"/>
      <c r="I898" s="120"/>
      <c r="P898" s="122"/>
      <c r="Q898" s="122"/>
    </row>
    <row r="899" spans="6:17" ht="14.25" customHeight="1" x14ac:dyDescent="0.3">
      <c r="F899" s="314"/>
      <c r="G899" s="314"/>
      <c r="I899" s="120"/>
      <c r="P899" s="122"/>
      <c r="Q899" s="122"/>
    </row>
    <row r="900" spans="6:17" ht="14.25" customHeight="1" x14ac:dyDescent="0.3">
      <c r="F900" s="314"/>
      <c r="G900" s="314"/>
      <c r="I900" s="120"/>
      <c r="P900" s="122"/>
      <c r="Q900" s="122"/>
    </row>
    <row r="901" spans="6:17" ht="14.25" customHeight="1" x14ac:dyDescent="0.3">
      <c r="F901" s="314"/>
      <c r="G901" s="314"/>
      <c r="I901" s="120"/>
      <c r="P901" s="122"/>
      <c r="Q901" s="122"/>
    </row>
    <row r="902" spans="6:17" ht="14.25" customHeight="1" x14ac:dyDescent="0.3">
      <c r="F902" s="314"/>
      <c r="G902" s="314"/>
      <c r="I902" s="120"/>
      <c r="P902" s="122"/>
      <c r="Q902" s="122"/>
    </row>
    <row r="903" spans="6:17" ht="14.25" customHeight="1" x14ac:dyDescent="0.3">
      <c r="F903" s="314"/>
      <c r="G903" s="314"/>
      <c r="I903" s="120"/>
      <c r="P903" s="122"/>
      <c r="Q903" s="122"/>
    </row>
    <row r="904" spans="6:17" ht="14.25" customHeight="1" x14ac:dyDescent="0.3">
      <c r="F904" s="314"/>
      <c r="G904" s="314"/>
      <c r="I904" s="120"/>
      <c r="P904" s="122"/>
      <c r="Q904" s="122"/>
    </row>
    <row r="905" spans="6:17" ht="14.25" customHeight="1" x14ac:dyDescent="0.3">
      <c r="F905" s="314"/>
      <c r="G905" s="314"/>
      <c r="I905" s="120"/>
      <c r="P905" s="122"/>
      <c r="Q905" s="122"/>
    </row>
    <row r="906" spans="6:17" ht="14.25" customHeight="1" x14ac:dyDescent="0.3">
      <c r="F906" s="314"/>
      <c r="G906" s="314"/>
      <c r="I906" s="120"/>
      <c r="P906" s="122"/>
      <c r="Q906" s="122"/>
    </row>
    <row r="907" spans="6:17" ht="14.25" customHeight="1" x14ac:dyDescent="0.3">
      <c r="F907" s="314"/>
      <c r="G907" s="314"/>
      <c r="I907" s="120"/>
      <c r="P907" s="122"/>
      <c r="Q907" s="122"/>
    </row>
    <row r="908" spans="6:17" ht="14.25" customHeight="1" x14ac:dyDescent="0.3">
      <c r="F908" s="314"/>
      <c r="G908" s="314"/>
      <c r="I908" s="120"/>
      <c r="P908" s="122"/>
      <c r="Q908" s="122"/>
    </row>
    <row r="909" spans="6:17" ht="14.25" customHeight="1" x14ac:dyDescent="0.3">
      <c r="F909" s="314"/>
      <c r="G909" s="314"/>
      <c r="I909" s="120"/>
      <c r="P909" s="122"/>
      <c r="Q909" s="122"/>
    </row>
    <row r="910" spans="6:17" ht="14.25" customHeight="1" x14ac:dyDescent="0.3">
      <c r="F910" s="314"/>
      <c r="G910" s="314"/>
      <c r="I910" s="120"/>
      <c r="P910" s="122"/>
      <c r="Q910" s="122"/>
    </row>
    <row r="911" spans="6:17" ht="14.25" customHeight="1" x14ac:dyDescent="0.3">
      <c r="F911" s="314"/>
      <c r="G911" s="314"/>
      <c r="I911" s="120"/>
      <c r="P911" s="122"/>
      <c r="Q911" s="122"/>
    </row>
    <row r="912" spans="6:17" ht="14.25" customHeight="1" x14ac:dyDescent="0.3">
      <c r="F912" s="314"/>
      <c r="G912" s="314"/>
      <c r="I912" s="120"/>
      <c r="P912" s="122"/>
      <c r="Q912" s="122"/>
    </row>
    <row r="913" spans="6:17" ht="14.25" customHeight="1" x14ac:dyDescent="0.3">
      <c r="F913" s="314"/>
      <c r="G913" s="314"/>
      <c r="I913" s="120"/>
      <c r="P913" s="122"/>
      <c r="Q913" s="122"/>
    </row>
    <row r="914" spans="6:17" ht="14.25" customHeight="1" x14ac:dyDescent="0.3">
      <c r="F914" s="314"/>
      <c r="G914" s="314"/>
      <c r="I914" s="120"/>
      <c r="P914" s="122"/>
      <c r="Q914" s="122"/>
    </row>
    <row r="915" spans="6:17" ht="14.25" customHeight="1" x14ac:dyDescent="0.3">
      <c r="F915" s="314"/>
      <c r="G915" s="314"/>
      <c r="I915" s="120"/>
      <c r="P915" s="122"/>
      <c r="Q915" s="122"/>
    </row>
    <row r="916" spans="6:17" ht="14.25" customHeight="1" x14ac:dyDescent="0.3">
      <c r="F916" s="314"/>
      <c r="G916" s="314"/>
      <c r="I916" s="120"/>
      <c r="P916" s="122"/>
      <c r="Q916" s="122"/>
    </row>
    <row r="917" spans="6:17" ht="14.25" customHeight="1" x14ac:dyDescent="0.3">
      <c r="F917" s="314"/>
      <c r="G917" s="314"/>
      <c r="I917" s="120"/>
      <c r="P917" s="122"/>
      <c r="Q917" s="122"/>
    </row>
    <row r="918" spans="6:17" ht="14.25" customHeight="1" x14ac:dyDescent="0.3">
      <c r="F918" s="314"/>
      <c r="G918" s="314"/>
      <c r="I918" s="120"/>
      <c r="P918" s="122"/>
      <c r="Q918" s="122"/>
    </row>
    <row r="919" spans="6:17" ht="14.25" customHeight="1" x14ac:dyDescent="0.3">
      <c r="F919" s="314"/>
      <c r="G919" s="314"/>
      <c r="I919" s="120"/>
      <c r="P919" s="122"/>
      <c r="Q919" s="122"/>
    </row>
    <row r="920" spans="6:17" ht="14.25" customHeight="1" x14ac:dyDescent="0.3">
      <c r="F920" s="314"/>
      <c r="G920" s="314"/>
      <c r="I920" s="120"/>
      <c r="P920" s="122"/>
      <c r="Q920" s="122"/>
    </row>
    <row r="921" spans="6:17" ht="14.25" customHeight="1" x14ac:dyDescent="0.3">
      <c r="F921" s="314"/>
      <c r="G921" s="314"/>
      <c r="I921" s="120"/>
      <c r="P921" s="122"/>
      <c r="Q921" s="122"/>
    </row>
    <row r="922" spans="6:17" ht="14.25" customHeight="1" x14ac:dyDescent="0.3">
      <c r="F922" s="314"/>
      <c r="G922" s="314"/>
      <c r="I922" s="120"/>
      <c r="P922" s="122"/>
      <c r="Q922" s="122"/>
    </row>
    <row r="923" spans="6:17" ht="14.25" customHeight="1" x14ac:dyDescent="0.3">
      <c r="F923" s="314"/>
      <c r="G923" s="314"/>
      <c r="I923" s="120"/>
      <c r="P923" s="122"/>
      <c r="Q923" s="122"/>
    </row>
    <row r="924" spans="6:17" ht="14.25" customHeight="1" x14ac:dyDescent="0.3">
      <c r="F924" s="314"/>
      <c r="G924" s="314"/>
      <c r="I924" s="120"/>
      <c r="P924" s="122"/>
      <c r="Q924" s="122"/>
    </row>
    <row r="925" spans="6:17" ht="14.25" customHeight="1" x14ac:dyDescent="0.3">
      <c r="F925" s="314"/>
      <c r="G925" s="314"/>
      <c r="I925" s="120"/>
      <c r="P925" s="122"/>
      <c r="Q925" s="122"/>
    </row>
    <row r="926" spans="6:17" ht="14.25" customHeight="1" x14ac:dyDescent="0.3">
      <c r="F926" s="314"/>
      <c r="G926" s="314"/>
      <c r="I926" s="120"/>
      <c r="P926" s="122"/>
      <c r="Q926" s="122"/>
    </row>
    <row r="927" spans="6:17" ht="14.25" customHeight="1" x14ac:dyDescent="0.3">
      <c r="F927" s="314"/>
      <c r="G927" s="314"/>
      <c r="I927" s="120"/>
      <c r="P927" s="122"/>
      <c r="Q927" s="122"/>
    </row>
    <row r="928" spans="6:17" ht="14.25" customHeight="1" x14ac:dyDescent="0.3">
      <c r="F928" s="314"/>
      <c r="G928" s="314"/>
      <c r="I928" s="120"/>
      <c r="P928" s="122"/>
      <c r="Q928" s="122"/>
    </row>
    <row r="929" spans="6:17" ht="14.25" customHeight="1" x14ac:dyDescent="0.3">
      <c r="F929" s="314"/>
      <c r="G929" s="314"/>
      <c r="I929" s="120"/>
      <c r="P929" s="122"/>
      <c r="Q929" s="122"/>
    </row>
    <row r="930" spans="6:17" ht="14.25" customHeight="1" x14ac:dyDescent="0.3">
      <c r="F930" s="314"/>
      <c r="G930" s="314"/>
      <c r="I930" s="120"/>
      <c r="P930" s="122"/>
      <c r="Q930" s="122"/>
    </row>
    <row r="931" spans="6:17" ht="14.25" customHeight="1" x14ac:dyDescent="0.3">
      <c r="F931" s="314"/>
      <c r="G931" s="314"/>
      <c r="I931" s="120"/>
      <c r="P931" s="122"/>
      <c r="Q931" s="122"/>
    </row>
    <row r="932" spans="6:17" ht="14.25" customHeight="1" x14ac:dyDescent="0.3">
      <c r="F932" s="314"/>
      <c r="G932" s="314"/>
      <c r="I932" s="120"/>
      <c r="P932" s="122"/>
      <c r="Q932" s="122"/>
    </row>
    <row r="933" spans="6:17" ht="14.25" customHeight="1" x14ac:dyDescent="0.3">
      <c r="F933" s="314"/>
      <c r="G933" s="314"/>
      <c r="I933" s="120"/>
      <c r="P933" s="122"/>
      <c r="Q933" s="122"/>
    </row>
    <row r="934" spans="6:17" ht="14.25" customHeight="1" x14ac:dyDescent="0.3">
      <c r="F934" s="314"/>
      <c r="G934" s="314"/>
      <c r="I934" s="120"/>
      <c r="P934" s="122"/>
      <c r="Q934" s="122"/>
    </row>
    <row r="935" spans="6:17" ht="14.25" customHeight="1" x14ac:dyDescent="0.3">
      <c r="F935" s="314"/>
      <c r="G935" s="314"/>
      <c r="I935" s="120"/>
      <c r="P935" s="122"/>
      <c r="Q935" s="122"/>
    </row>
    <row r="936" spans="6:17" ht="14.25" customHeight="1" x14ac:dyDescent="0.3">
      <c r="F936" s="314"/>
      <c r="G936" s="314"/>
      <c r="I936" s="120"/>
      <c r="P936" s="122"/>
      <c r="Q936" s="122"/>
    </row>
    <row r="937" spans="6:17" ht="14.25" customHeight="1" x14ac:dyDescent="0.3">
      <c r="F937" s="314"/>
      <c r="G937" s="314"/>
      <c r="I937" s="120"/>
      <c r="P937" s="122"/>
      <c r="Q937" s="122"/>
    </row>
    <row r="938" spans="6:17" ht="14.25" customHeight="1" x14ac:dyDescent="0.3">
      <c r="F938" s="314"/>
      <c r="G938" s="314"/>
      <c r="I938" s="120"/>
      <c r="P938" s="122"/>
      <c r="Q938" s="122"/>
    </row>
    <row r="939" spans="6:17" ht="14.25" customHeight="1" x14ac:dyDescent="0.3">
      <c r="F939" s="314"/>
      <c r="G939" s="314"/>
      <c r="I939" s="120"/>
      <c r="P939" s="122"/>
      <c r="Q939" s="122"/>
    </row>
    <row r="940" spans="6:17" ht="14.25" customHeight="1" x14ac:dyDescent="0.3">
      <c r="F940" s="314"/>
      <c r="G940" s="314"/>
      <c r="I940" s="120"/>
      <c r="P940" s="122"/>
      <c r="Q940" s="122"/>
    </row>
    <row r="941" spans="6:17" ht="14.25" customHeight="1" x14ac:dyDescent="0.3">
      <c r="F941" s="314"/>
      <c r="G941" s="314"/>
      <c r="I941" s="120"/>
      <c r="P941" s="122"/>
      <c r="Q941" s="122"/>
    </row>
    <row r="942" spans="6:17" ht="14.25" customHeight="1" x14ac:dyDescent="0.3">
      <c r="F942" s="314"/>
      <c r="G942" s="314"/>
      <c r="I942" s="120"/>
      <c r="P942" s="122"/>
      <c r="Q942" s="122"/>
    </row>
    <row r="943" spans="6:17" ht="14.25" customHeight="1" x14ac:dyDescent="0.3">
      <c r="F943" s="314"/>
      <c r="G943" s="314"/>
      <c r="I943" s="120"/>
      <c r="P943" s="122"/>
      <c r="Q943" s="122"/>
    </row>
    <row r="944" spans="6:17" ht="14.25" customHeight="1" x14ac:dyDescent="0.3">
      <c r="F944" s="314"/>
      <c r="G944" s="314"/>
      <c r="I944" s="120"/>
      <c r="P944" s="122"/>
      <c r="Q944" s="122"/>
    </row>
    <row r="945" spans="6:17" ht="14.25" customHeight="1" x14ac:dyDescent="0.3">
      <c r="F945" s="314"/>
      <c r="G945" s="314"/>
      <c r="I945" s="120"/>
      <c r="P945" s="122"/>
      <c r="Q945" s="122"/>
    </row>
    <row r="946" spans="6:17" ht="14.25" customHeight="1" x14ac:dyDescent="0.3">
      <c r="F946" s="314"/>
      <c r="G946" s="314"/>
      <c r="I946" s="120"/>
      <c r="P946" s="122"/>
      <c r="Q946" s="122"/>
    </row>
    <row r="947" spans="6:17" ht="14.25" customHeight="1" x14ac:dyDescent="0.3">
      <c r="F947" s="314"/>
      <c r="G947" s="314"/>
      <c r="I947" s="120"/>
      <c r="P947" s="122"/>
      <c r="Q947" s="122"/>
    </row>
    <row r="948" spans="6:17" ht="14.25" customHeight="1" x14ac:dyDescent="0.3">
      <c r="F948" s="314"/>
      <c r="G948" s="314"/>
      <c r="I948" s="120"/>
      <c r="P948" s="122"/>
      <c r="Q948" s="122"/>
    </row>
    <row r="949" spans="6:17" ht="14.25" customHeight="1" x14ac:dyDescent="0.3">
      <c r="F949" s="314"/>
      <c r="G949" s="314"/>
      <c r="I949" s="120"/>
      <c r="P949" s="122"/>
      <c r="Q949" s="122"/>
    </row>
    <row r="950" spans="6:17" ht="14.25" customHeight="1" x14ac:dyDescent="0.3">
      <c r="F950" s="314"/>
      <c r="G950" s="314"/>
      <c r="I950" s="120"/>
      <c r="P950" s="122"/>
      <c r="Q950" s="122"/>
    </row>
    <row r="951" spans="6:17" ht="14.25" customHeight="1" x14ac:dyDescent="0.3">
      <c r="F951" s="314"/>
      <c r="G951" s="314"/>
      <c r="I951" s="120"/>
      <c r="P951" s="122"/>
      <c r="Q951" s="122"/>
    </row>
    <row r="952" spans="6:17" ht="14.25" customHeight="1" x14ac:dyDescent="0.3">
      <c r="F952" s="314"/>
      <c r="G952" s="314"/>
      <c r="I952" s="120"/>
      <c r="P952" s="122"/>
      <c r="Q952" s="122"/>
    </row>
    <row r="953" spans="6:17" ht="14.25" customHeight="1" x14ac:dyDescent="0.3">
      <c r="F953" s="314"/>
      <c r="G953" s="314"/>
      <c r="I953" s="120"/>
      <c r="P953" s="122"/>
      <c r="Q953" s="122"/>
    </row>
    <row r="954" spans="6:17" ht="14.25" customHeight="1" x14ac:dyDescent="0.3">
      <c r="F954" s="314"/>
      <c r="G954" s="314"/>
      <c r="I954" s="120"/>
      <c r="P954" s="122"/>
      <c r="Q954" s="122"/>
    </row>
    <row r="955" spans="6:17" ht="14.25" customHeight="1" x14ac:dyDescent="0.3">
      <c r="F955" s="314"/>
      <c r="G955" s="314"/>
      <c r="I955" s="120"/>
      <c r="P955" s="122"/>
      <c r="Q955" s="122"/>
    </row>
    <row r="956" spans="6:17" ht="14.25" customHeight="1" x14ac:dyDescent="0.3">
      <c r="F956" s="314"/>
      <c r="G956" s="314"/>
      <c r="I956" s="120"/>
      <c r="P956" s="122"/>
      <c r="Q956" s="122"/>
    </row>
    <row r="957" spans="6:17" ht="14.25" customHeight="1" x14ac:dyDescent="0.3">
      <c r="F957" s="314"/>
      <c r="G957" s="314"/>
      <c r="I957" s="120"/>
      <c r="P957" s="122"/>
      <c r="Q957" s="122"/>
    </row>
    <row r="958" spans="6:17" ht="14.25" customHeight="1" x14ac:dyDescent="0.3">
      <c r="F958" s="314"/>
      <c r="G958" s="314"/>
      <c r="I958" s="120"/>
      <c r="P958" s="122"/>
      <c r="Q958" s="122"/>
    </row>
    <row r="959" spans="6:17" ht="14.25" customHeight="1" x14ac:dyDescent="0.3">
      <c r="F959" s="314"/>
      <c r="G959" s="314"/>
      <c r="I959" s="120"/>
      <c r="P959" s="122"/>
      <c r="Q959" s="122"/>
    </row>
    <row r="960" spans="6:17" ht="14.25" customHeight="1" x14ac:dyDescent="0.3">
      <c r="F960" s="314"/>
      <c r="G960" s="314"/>
      <c r="I960" s="120"/>
      <c r="P960" s="122"/>
      <c r="Q960" s="122"/>
    </row>
    <row r="961" spans="6:17" ht="14.25" customHeight="1" x14ac:dyDescent="0.3">
      <c r="F961" s="314"/>
      <c r="G961" s="314"/>
      <c r="I961" s="120"/>
      <c r="P961" s="122"/>
      <c r="Q961" s="122"/>
    </row>
    <row r="962" spans="6:17" ht="14.25" customHeight="1" x14ac:dyDescent="0.3">
      <c r="F962" s="314"/>
      <c r="G962" s="314"/>
      <c r="I962" s="120"/>
      <c r="P962" s="122"/>
      <c r="Q962" s="122"/>
    </row>
    <row r="963" spans="6:17" ht="14.25" customHeight="1" x14ac:dyDescent="0.3">
      <c r="F963" s="314"/>
      <c r="G963" s="314"/>
      <c r="I963" s="120"/>
      <c r="P963" s="122"/>
      <c r="Q963" s="122"/>
    </row>
    <row r="964" spans="6:17" ht="14.25" customHeight="1" x14ac:dyDescent="0.3">
      <c r="F964" s="314"/>
      <c r="G964" s="314"/>
      <c r="I964" s="120"/>
      <c r="P964" s="122"/>
      <c r="Q964" s="122"/>
    </row>
    <row r="965" spans="6:17" ht="14.25" customHeight="1" x14ac:dyDescent="0.3">
      <c r="F965" s="314"/>
      <c r="G965" s="314"/>
      <c r="I965" s="120"/>
      <c r="P965" s="122"/>
      <c r="Q965" s="122"/>
    </row>
    <row r="966" spans="6:17" ht="14.25" customHeight="1" x14ac:dyDescent="0.3">
      <c r="F966" s="314"/>
      <c r="G966" s="314"/>
      <c r="I966" s="120"/>
      <c r="P966" s="122"/>
      <c r="Q966" s="122"/>
    </row>
    <row r="967" spans="6:17" ht="14.25" customHeight="1" x14ac:dyDescent="0.3">
      <c r="F967" s="314"/>
      <c r="G967" s="314"/>
      <c r="I967" s="120"/>
      <c r="P967" s="122"/>
      <c r="Q967" s="122"/>
    </row>
    <row r="968" spans="6:17" ht="14.25" customHeight="1" x14ac:dyDescent="0.3">
      <c r="F968" s="314"/>
      <c r="G968" s="314"/>
      <c r="I968" s="120"/>
      <c r="P968" s="122"/>
      <c r="Q968" s="122"/>
    </row>
    <row r="969" spans="6:17" ht="14.25" customHeight="1" x14ac:dyDescent="0.3">
      <c r="F969" s="314"/>
      <c r="G969" s="314"/>
      <c r="I969" s="120"/>
      <c r="P969" s="122"/>
      <c r="Q969" s="122"/>
    </row>
    <row r="970" spans="6:17" ht="14.25" customHeight="1" x14ac:dyDescent="0.3">
      <c r="F970" s="314"/>
      <c r="G970" s="314"/>
      <c r="I970" s="120"/>
      <c r="P970" s="122"/>
      <c r="Q970" s="122"/>
    </row>
    <row r="971" spans="6:17" ht="14.25" customHeight="1" x14ac:dyDescent="0.3">
      <c r="F971" s="314"/>
      <c r="G971" s="314"/>
      <c r="I971" s="120"/>
      <c r="P971" s="122"/>
      <c r="Q971" s="122"/>
    </row>
    <row r="972" spans="6:17" ht="14.25" customHeight="1" x14ac:dyDescent="0.3">
      <c r="F972" s="314"/>
      <c r="G972" s="314"/>
      <c r="I972" s="120"/>
      <c r="P972" s="122"/>
      <c r="Q972" s="122"/>
    </row>
    <row r="973" spans="6:17" ht="14.25" customHeight="1" x14ac:dyDescent="0.3">
      <c r="F973" s="314"/>
      <c r="G973" s="314"/>
      <c r="I973" s="120"/>
      <c r="P973" s="122"/>
      <c r="Q973" s="122"/>
    </row>
    <row r="974" spans="6:17" ht="14.25" customHeight="1" x14ac:dyDescent="0.3">
      <c r="F974" s="314"/>
      <c r="G974" s="314"/>
      <c r="I974" s="120"/>
      <c r="P974" s="122"/>
      <c r="Q974" s="122"/>
    </row>
    <row r="975" spans="6:17" ht="14.25" customHeight="1" x14ac:dyDescent="0.3">
      <c r="F975" s="314"/>
      <c r="G975" s="314"/>
      <c r="I975" s="120"/>
      <c r="P975" s="122"/>
      <c r="Q975" s="122"/>
    </row>
    <row r="976" spans="6:17" ht="14.25" customHeight="1" x14ac:dyDescent="0.3">
      <c r="F976" s="314"/>
      <c r="G976" s="314"/>
      <c r="I976" s="120"/>
      <c r="P976" s="122"/>
      <c r="Q976" s="122"/>
    </row>
    <row r="977" spans="6:17" ht="14.25" customHeight="1" x14ac:dyDescent="0.3">
      <c r="F977" s="314"/>
      <c r="G977" s="314"/>
      <c r="I977" s="120"/>
      <c r="P977" s="122"/>
      <c r="Q977" s="122"/>
    </row>
    <row r="978" spans="6:17" ht="14.25" customHeight="1" x14ac:dyDescent="0.3">
      <c r="F978" s="314"/>
      <c r="G978" s="314"/>
      <c r="I978" s="120"/>
      <c r="P978" s="122"/>
      <c r="Q978" s="122"/>
    </row>
    <row r="979" spans="6:17" ht="14.25" customHeight="1" x14ac:dyDescent="0.3">
      <c r="F979" s="314"/>
      <c r="G979" s="314"/>
      <c r="I979" s="120"/>
      <c r="P979" s="122"/>
      <c r="Q979" s="122"/>
    </row>
    <row r="980" spans="6:17" ht="14.25" customHeight="1" x14ac:dyDescent="0.3">
      <c r="F980" s="314"/>
      <c r="G980" s="314"/>
      <c r="I980" s="120"/>
      <c r="P980" s="122"/>
      <c r="Q980" s="122"/>
    </row>
    <row r="981" spans="6:17" ht="14.25" customHeight="1" x14ac:dyDescent="0.3">
      <c r="F981" s="314"/>
      <c r="G981" s="314"/>
      <c r="I981" s="120"/>
      <c r="P981" s="122"/>
      <c r="Q981" s="122"/>
    </row>
    <row r="982" spans="6:17" ht="14.25" customHeight="1" x14ac:dyDescent="0.3">
      <c r="F982" s="314"/>
      <c r="G982" s="314"/>
      <c r="I982" s="120"/>
      <c r="P982" s="122"/>
      <c r="Q982" s="122"/>
    </row>
    <row r="983" spans="6:17" ht="14.25" customHeight="1" x14ac:dyDescent="0.3">
      <c r="F983" s="314"/>
      <c r="G983" s="314"/>
      <c r="I983" s="120"/>
      <c r="P983" s="122"/>
      <c r="Q983" s="122"/>
    </row>
    <row r="984" spans="6:17" ht="14.25" customHeight="1" x14ac:dyDescent="0.3">
      <c r="F984" s="314"/>
      <c r="G984" s="314"/>
      <c r="I984" s="120"/>
      <c r="P984" s="122"/>
      <c r="Q984" s="122"/>
    </row>
    <row r="985" spans="6:17" ht="14.25" customHeight="1" x14ac:dyDescent="0.3">
      <c r="F985" s="314"/>
      <c r="G985" s="314"/>
      <c r="I985" s="120"/>
      <c r="P985" s="122"/>
      <c r="Q985" s="122"/>
    </row>
    <row r="986" spans="6:17" ht="14.25" customHeight="1" x14ac:dyDescent="0.3">
      <c r="F986" s="314"/>
      <c r="G986" s="314"/>
      <c r="I986" s="120"/>
      <c r="P986" s="122"/>
      <c r="Q986" s="122"/>
    </row>
    <row r="987" spans="6:17" ht="14.25" customHeight="1" x14ac:dyDescent="0.3">
      <c r="F987" s="314"/>
      <c r="G987" s="314"/>
      <c r="I987" s="120"/>
      <c r="P987" s="122"/>
      <c r="Q987" s="122"/>
    </row>
    <row r="988" spans="6:17" ht="14.25" customHeight="1" x14ac:dyDescent="0.3">
      <c r="F988" s="314"/>
      <c r="G988" s="314"/>
      <c r="I988" s="120"/>
      <c r="P988" s="122"/>
      <c r="Q988" s="122"/>
    </row>
    <row r="989" spans="6:17" ht="14.25" customHeight="1" x14ac:dyDescent="0.3">
      <c r="F989" s="314"/>
      <c r="G989" s="314"/>
      <c r="I989" s="120"/>
      <c r="P989" s="122"/>
      <c r="Q989" s="122"/>
    </row>
    <row r="990" spans="6:17" ht="14.25" customHeight="1" x14ac:dyDescent="0.3">
      <c r="F990" s="314"/>
      <c r="G990" s="314"/>
      <c r="I990" s="120"/>
      <c r="P990" s="122"/>
      <c r="Q990" s="122"/>
    </row>
    <row r="991" spans="6:17" ht="14.25" customHeight="1" x14ac:dyDescent="0.3">
      <c r="F991" s="314"/>
      <c r="G991" s="314"/>
      <c r="I991" s="120"/>
      <c r="P991" s="122"/>
      <c r="Q991" s="122"/>
    </row>
    <row r="992" spans="6:17" ht="14.25" customHeight="1" x14ac:dyDescent="0.3">
      <c r="F992" s="314"/>
      <c r="G992" s="314"/>
      <c r="I992" s="120"/>
      <c r="P992" s="122"/>
      <c r="Q992" s="122"/>
    </row>
    <row r="993" spans="6:17" ht="14.25" customHeight="1" x14ac:dyDescent="0.3">
      <c r="F993" s="314"/>
      <c r="G993" s="314"/>
      <c r="I993" s="120"/>
      <c r="P993" s="122"/>
      <c r="Q993" s="122"/>
    </row>
    <row r="994" spans="6:17" ht="14.25" customHeight="1" x14ac:dyDescent="0.3">
      <c r="F994" s="314"/>
      <c r="G994" s="314"/>
      <c r="I994" s="120"/>
      <c r="P994" s="122"/>
      <c r="Q994" s="122"/>
    </row>
    <row r="995" spans="6:17" ht="14.25" customHeight="1" x14ac:dyDescent="0.3">
      <c r="F995" s="314"/>
      <c r="G995" s="314"/>
      <c r="I995" s="120"/>
      <c r="P995" s="122"/>
      <c r="Q995" s="122"/>
    </row>
    <row r="996" spans="6:17" ht="14.25" customHeight="1" x14ac:dyDescent="0.3">
      <c r="F996" s="314"/>
      <c r="G996" s="314"/>
      <c r="I996" s="120"/>
      <c r="P996" s="122"/>
      <c r="Q996" s="122"/>
    </row>
    <row r="997" spans="6:17" ht="14.25" customHeight="1" x14ac:dyDescent="0.3">
      <c r="F997" s="314"/>
      <c r="G997" s="314"/>
      <c r="I997" s="120"/>
      <c r="P997" s="122"/>
      <c r="Q997" s="122"/>
    </row>
    <row r="998" spans="6:17" ht="14.25" customHeight="1" x14ac:dyDescent="0.3">
      <c r="F998" s="314"/>
      <c r="G998" s="314"/>
      <c r="I998" s="120"/>
      <c r="P998" s="122"/>
      <c r="Q998" s="122"/>
    </row>
    <row r="999" spans="6:17" ht="14.25" customHeight="1" x14ac:dyDescent="0.3">
      <c r="F999" s="314"/>
      <c r="G999" s="314"/>
      <c r="I999" s="120"/>
      <c r="P999" s="122"/>
      <c r="Q999" s="122"/>
    </row>
    <row r="1000" spans="6:17" ht="14.25" customHeight="1" x14ac:dyDescent="0.3">
      <c r="F1000" s="314"/>
      <c r="G1000" s="314"/>
      <c r="I1000" s="120"/>
      <c r="P1000" s="122"/>
      <c r="Q1000" s="122"/>
    </row>
  </sheetData>
  <mergeCells count="10">
    <mergeCell ref="B25:C32"/>
    <mergeCell ref="B42:C49"/>
    <mergeCell ref="A51:C55"/>
    <mergeCell ref="A1:Q1"/>
    <mergeCell ref="O2:P2"/>
    <mergeCell ref="A3:G3"/>
    <mergeCell ref="A4:B4"/>
    <mergeCell ref="D4:F4"/>
    <mergeCell ref="A6:A11"/>
    <mergeCell ref="A13:A15"/>
  </mergeCells>
  <pageMargins left="0.19685039370078741" right="0.15748031496062992" top="0.82677165354330717" bottom="0.15748031496062992" header="0" footer="0"/>
  <pageSetup paperSize="9" orientation="landscape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8">
    <pageSetUpPr fitToPage="1"/>
  </sheetPr>
  <dimension ref="A1:Z1000"/>
  <sheetViews>
    <sheetView workbookViewId="0">
      <pane ySplit="5" topLeftCell="A6" activePane="bottomLeft" state="frozen"/>
      <selection pane="bottomLeft" activeCell="I6" sqref="I6"/>
    </sheetView>
  </sheetViews>
  <sheetFormatPr defaultColWidth="14.44140625" defaultRowHeight="15" customHeight="1" outlineLevelCol="1" x14ac:dyDescent="0.3"/>
  <cols>
    <col min="1" max="1" width="8.6640625" customWidth="1"/>
    <col min="2" max="2" width="17.5546875" customWidth="1"/>
    <col min="3" max="3" width="19.44140625" customWidth="1"/>
    <col min="4" max="4" width="17.109375" customWidth="1"/>
    <col min="5" max="5" width="14" customWidth="1"/>
    <col min="6" max="6" width="13.44140625" customWidth="1"/>
    <col min="7" max="7" width="10.5546875" customWidth="1"/>
    <col min="8" max="8" width="15.109375" customWidth="1"/>
    <col min="9" max="9" width="11.33203125" customWidth="1" outlineLevel="1"/>
    <col min="10" max="10" width="19.44140625" customWidth="1" outlineLevel="1"/>
    <col min="11" max="11" width="15.5546875" customWidth="1" outlineLevel="1"/>
    <col min="12" max="12" width="9.6640625" customWidth="1" outlineLevel="1"/>
    <col min="13" max="13" width="11.6640625" customWidth="1" outlineLevel="1"/>
    <col min="14" max="14" width="13.33203125" customWidth="1"/>
    <col min="16" max="17" width="18" customWidth="1"/>
    <col min="18" max="26" width="8.6640625" customWidth="1"/>
  </cols>
  <sheetData>
    <row r="1" spans="1:17" ht="14.25" hidden="1" customHeight="1" x14ac:dyDescent="0.45">
      <c r="A1" s="697" t="s">
        <v>217</v>
      </c>
      <c r="B1" s="647"/>
      <c r="C1" s="647"/>
      <c r="D1" s="647"/>
      <c r="E1" s="647"/>
      <c r="F1" s="647"/>
      <c r="G1" s="647"/>
      <c r="H1" s="647"/>
      <c r="I1" s="647"/>
      <c r="J1" s="647"/>
      <c r="K1" s="647"/>
      <c r="L1" s="647"/>
      <c r="M1" s="647"/>
      <c r="N1" s="647"/>
      <c r="O1" s="647"/>
      <c r="P1" s="647"/>
      <c r="Q1" s="648"/>
    </row>
    <row r="2" spans="1:17" ht="15" hidden="1" customHeight="1" x14ac:dyDescent="0.3">
      <c r="B2" s="501"/>
      <c r="C2" s="501"/>
      <c r="D2" s="501"/>
      <c r="E2" s="314"/>
      <c r="F2" s="314"/>
      <c r="G2" s="314"/>
      <c r="H2" s="314"/>
      <c r="I2" s="502" t="s">
        <v>218</v>
      </c>
      <c r="J2" s="503"/>
      <c r="K2" s="504"/>
      <c r="L2" s="467"/>
      <c r="M2" s="314"/>
      <c r="N2" s="505" t="s">
        <v>219</v>
      </c>
      <c r="O2" s="698" t="s">
        <v>220</v>
      </c>
      <c r="P2" s="645"/>
      <c r="Q2" s="506"/>
    </row>
    <row r="3" spans="1:17" ht="48" customHeight="1" x14ac:dyDescent="0.3">
      <c r="A3" s="699" t="s">
        <v>244</v>
      </c>
      <c r="B3" s="600"/>
      <c r="C3" s="600"/>
      <c r="D3" s="600"/>
      <c r="E3" s="600"/>
      <c r="F3" s="600"/>
      <c r="G3" s="601"/>
      <c r="H3" s="546">
        <f>' COMP.MAXFIO'!J2</f>
        <v>45944</v>
      </c>
      <c r="I3" s="502"/>
      <c r="J3" s="547" t="s">
        <v>222</v>
      </c>
      <c r="K3" s="548">
        <f>' COMP.MAXFIO'!K3</f>
        <v>8.5500000000000007</v>
      </c>
      <c r="L3" s="467"/>
      <c r="M3" s="314"/>
      <c r="O3" s="509"/>
      <c r="P3" s="509"/>
      <c r="Q3" s="509"/>
    </row>
    <row r="4" spans="1:17" ht="14.25" customHeight="1" x14ac:dyDescent="0.3">
      <c r="A4" s="695" t="s">
        <v>154</v>
      </c>
      <c r="B4" s="692"/>
      <c r="C4" s="320" t="s">
        <v>155</v>
      </c>
      <c r="D4" s="695" t="s">
        <v>156</v>
      </c>
      <c r="E4" s="691"/>
      <c r="F4" s="692"/>
      <c r="G4" s="320"/>
      <c r="H4" s="321" t="s">
        <v>157</v>
      </c>
      <c r="I4" s="511" t="s">
        <v>158</v>
      </c>
      <c r="J4" s="549">
        <f>VIABILIDADE!P2</f>
        <v>25.96</v>
      </c>
      <c r="K4" s="550" t="s">
        <v>223</v>
      </c>
      <c r="L4" s="513" t="s">
        <v>160</v>
      </c>
      <c r="M4" s="513" t="s">
        <v>161</v>
      </c>
      <c r="N4" s="514" t="s">
        <v>162</v>
      </c>
      <c r="O4" s="515" t="s">
        <v>224</v>
      </c>
      <c r="P4" s="516" t="s">
        <v>225</v>
      </c>
      <c r="Q4" s="516" t="s">
        <v>226</v>
      </c>
    </row>
    <row r="5" spans="1:17" ht="14.25" customHeight="1" x14ac:dyDescent="0.3">
      <c r="A5" s="331" t="s">
        <v>166</v>
      </c>
      <c r="B5" s="331" t="s">
        <v>167</v>
      </c>
      <c r="C5" s="331" t="s">
        <v>168</v>
      </c>
      <c r="D5" s="331" t="s">
        <v>169</v>
      </c>
      <c r="E5" s="331" t="s">
        <v>170</v>
      </c>
      <c r="F5" s="332" t="s">
        <v>227</v>
      </c>
      <c r="G5" s="332" t="s">
        <v>172</v>
      </c>
      <c r="H5" s="332" t="s">
        <v>228</v>
      </c>
      <c r="I5" s="517">
        <v>69.5</v>
      </c>
      <c r="J5" s="512">
        <f>' COMP.MAXFIO'!J5</f>
        <v>8.9</v>
      </c>
      <c r="K5" s="518">
        <f>VIABILIDADE!P2</f>
        <v>25.96</v>
      </c>
      <c r="L5" s="519">
        <f>VIABILIDADE!Q2</f>
        <v>16.7</v>
      </c>
      <c r="M5" s="519">
        <f>VIABILIDADE!R2</f>
        <v>0.1</v>
      </c>
      <c r="N5" s="520"/>
      <c r="O5" s="452"/>
      <c r="P5" s="451"/>
      <c r="Q5" s="521">
        <v>0.12479999999999999</v>
      </c>
    </row>
    <row r="6" spans="1:17" ht="14.25" customHeight="1" x14ac:dyDescent="0.3">
      <c r="A6" s="636" t="s">
        <v>28</v>
      </c>
      <c r="B6" s="551">
        <v>1</v>
      </c>
      <c r="C6" s="342">
        <v>100</v>
      </c>
      <c r="D6" s="552">
        <v>0.44</v>
      </c>
      <c r="E6" s="552">
        <v>1</v>
      </c>
      <c r="F6" s="553"/>
      <c r="G6" s="345">
        <v>1.2999999999999999E-2</v>
      </c>
      <c r="H6" s="346">
        <f t="shared" ref="H6:H23" si="0">D6+E6+F6+G6</f>
        <v>1.4529999999999998</v>
      </c>
      <c r="I6" s="554">
        <f t="shared" ref="I6:I23" si="1">($I$5*D6)</f>
        <v>30.580000000000002</v>
      </c>
      <c r="J6" s="348">
        <f t="shared" ref="J6:J17" si="2">E6*$J$5</f>
        <v>8.9</v>
      </c>
      <c r="K6" s="349">
        <v>0</v>
      </c>
      <c r="L6" s="350">
        <f t="shared" ref="L6:L17" si="3">G6*$L$5</f>
        <v>0.21709999999999999</v>
      </c>
      <c r="M6" s="555">
        <f t="shared" ref="M6:M11" si="4">$M$5</f>
        <v>0.1</v>
      </c>
      <c r="N6" s="556">
        <f t="shared" ref="N6:N23" si="5">I6+J6+K6+L6+M6</f>
        <v>39.797100000000007</v>
      </c>
      <c r="O6" s="526">
        <v>0.21</v>
      </c>
      <c r="P6" s="527">
        <f t="shared" ref="P6:P12" si="6">N6/(1-O6)</f>
        <v>50.376075949367099</v>
      </c>
      <c r="Q6" s="527">
        <f t="shared" ref="Q6:Q12" si="7">P6+(P6*$Q$5)</f>
        <v>56.663010227848112</v>
      </c>
    </row>
    <row r="7" spans="1:17" ht="14.25" customHeight="1" x14ac:dyDescent="0.3">
      <c r="A7" s="637"/>
      <c r="B7" s="557">
        <v>1.5</v>
      </c>
      <c r="C7" s="486">
        <v>100</v>
      </c>
      <c r="D7" s="478">
        <v>0.77</v>
      </c>
      <c r="E7" s="531">
        <v>1.1000000000000001</v>
      </c>
      <c r="F7" s="523"/>
      <c r="G7" s="368">
        <v>1.2999999999999999E-2</v>
      </c>
      <c r="H7" s="524">
        <f t="shared" si="0"/>
        <v>1.883</v>
      </c>
      <c r="I7" s="407">
        <f t="shared" si="1"/>
        <v>53.515000000000001</v>
      </c>
      <c r="J7" s="348">
        <f t="shared" si="2"/>
        <v>9.7900000000000009</v>
      </c>
      <c r="K7" s="369">
        <v>0</v>
      </c>
      <c r="L7" s="370">
        <f t="shared" si="3"/>
        <v>0.21709999999999999</v>
      </c>
      <c r="M7" s="558">
        <f t="shared" si="4"/>
        <v>0.1</v>
      </c>
      <c r="N7" s="556">
        <f t="shared" si="5"/>
        <v>63.622100000000003</v>
      </c>
      <c r="O7" s="526">
        <v>0.2195</v>
      </c>
      <c r="P7" s="527">
        <f t="shared" si="6"/>
        <v>81.514541960281875</v>
      </c>
      <c r="Q7" s="451">
        <f t="shared" si="7"/>
        <v>91.687556796925051</v>
      </c>
    </row>
    <row r="8" spans="1:17" ht="14.25" customHeight="1" x14ac:dyDescent="0.3">
      <c r="A8" s="637"/>
      <c r="B8" s="559">
        <v>2.5</v>
      </c>
      <c r="C8" s="356">
        <v>100</v>
      </c>
      <c r="D8" s="560">
        <v>1.32</v>
      </c>
      <c r="E8" s="392">
        <v>1.5</v>
      </c>
      <c r="F8" s="523"/>
      <c r="G8" s="368">
        <f>0.016</f>
        <v>1.6E-2</v>
      </c>
      <c r="H8" s="524">
        <f t="shared" si="0"/>
        <v>2.8360000000000003</v>
      </c>
      <c r="I8" s="347">
        <f t="shared" si="1"/>
        <v>91.740000000000009</v>
      </c>
      <c r="J8" s="348">
        <f t="shared" si="2"/>
        <v>13.350000000000001</v>
      </c>
      <c r="K8" s="369">
        <v>0</v>
      </c>
      <c r="L8" s="370">
        <f t="shared" si="3"/>
        <v>0.26719999999999999</v>
      </c>
      <c r="M8" s="558">
        <f t="shared" si="4"/>
        <v>0.1</v>
      </c>
      <c r="N8" s="556">
        <f t="shared" si="5"/>
        <v>105.4572</v>
      </c>
      <c r="O8" s="528">
        <v>0.1915</v>
      </c>
      <c r="P8" s="451">
        <f t="shared" si="6"/>
        <v>130.4356215213358</v>
      </c>
      <c r="Q8" s="451">
        <f t="shared" si="7"/>
        <v>146.71398708719852</v>
      </c>
    </row>
    <row r="9" spans="1:17" ht="14.25" customHeight="1" x14ac:dyDescent="0.3">
      <c r="A9" s="637"/>
      <c r="B9" s="559">
        <v>4</v>
      </c>
      <c r="C9" s="356">
        <v>100</v>
      </c>
      <c r="D9" s="560">
        <v>1.98</v>
      </c>
      <c r="E9" s="392">
        <v>1.8</v>
      </c>
      <c r="F9" s="523"/>
      <c r="G9" s="368">
        <f>0.018</f>
        <v>1.7999999999999999E-2</v>
      </c>
      <c r="H9" s="524">
        <f t="shared" si="0"/>
        <v>3.798</v>
      </c>
      <c r="I9" s="347">
        <f t="shared" si="1"/>
        <v>137.60999999999999</v>
      </c>
      <c r="J9" s="348">
        <f t="shared" si="2"/>
        <v>16.02</v>
      </c>
      <c r="K9" s="369">
        <v>0</v>
      </c>
      <c r="L9" s="370">
        <f t="shared" si="3"/>
        <v>0.30059999999999998</v>
      </c>
      <c r="M9" s="558">
        <f t="shared" si="4"/>
        <v>0.1</v>
      </c>
      <c r="N9" s="556">
        <f t="shared" si="5"/>
        <v>154.03059999999999</v>
      </c>
      <c r="O9" s="528">
        <v>0.21274999999999999</v>
      </c>
      <c r="P9" s="451">
        <f t="shared" si="6"/>
        <v>195.65652588123211</v>
      </c>
      <c r="Q9" s="451">
        <f t="shared" si="7"/>
        <v>220.07446031120989</v>
      </c>
    </row>
    <row r="10" spans="1:17" ht="14.25" customHeight="1" x14ac:dyDescent="0.3">
      <c r="A10" s="637"/>
      <c r="B10" s="559">
        <v>6</v>
      </c>
      <c r="C10" s="356">
        <v>100</v>
      </c>
      <c r="D10" s="560">
        <v>3.08</v>
      </c>
      <c r="E10" s="392">
        <v>2.2999999999999998</v>
      </c>
      <c r="F10" s="523"/>
      <c r="G10" s="368">
        <v>1.9E-2</v>
      </c>
      <c r="H10" s="524">
        <f t="shared" si="0"/>
        <v>5.399</v>
      </c>
      <c r="I10" s="347">
        <f t="shared" si="1"/>
        <v>214.06</v>
      </c>
      <c r="J10" s="348">
        <f t="shared" si="2"/>
        <v>20.47</v>
      </c>
      <c r="K10" s="369">
        <v>0</v>
      </c>
      <c r="L10" s="370">
        <f t="shared" si="3"/>
        <v>0.31729999999999997</v>
      </c>
      <c r="M10" s="558">
        <f t="shared" si="4"/>
        <v>0.1</v>
      </c>
      <c r="N10" s="556">
        <f t="shared" si="5"/>
        <v>234.94729999999998</v>
      </c>
      <c r="O10" s="528">
        <v>0.19475000000000001</v>
      </c>
      <c r="P10" s="451">
        <f t="shared" si="6"/>
        <v>291.76938838869916</v>
      </c>
      <c r="Q10" s="451">
        <f t="shared" si="7"/>
        <v>328.1822080596088</v>
      </c>
    </row>
    <row r="11" spans="1:17" ht="14.25" customHeight="1" x14ac:dyDescent="0.3">
      <c r="A11" s="637"/>
      <c r="B11" s="559">
        <v>10</v>
      </c>
      <c r="C11" s="356">
        <v>100</v>
      </c>
      <c r="D11" s="560">
        <v>5.5</v>
      </c>
      <c r="E11" s="392">
        <v>3.6</v>
      </c>
      <c r="F11" s="523"/>
      <c r="G11" s="368">
        <v>2.5000000000000001E-2</v>
      </c>
      <c r="H11" s="524">
        <f t="shared" si="0"/>
        <v>9.125</v>
      </c>
      <c r="I11" s="347">
        <f t="shared" si="1"/>
        <v>382.25</v>
      </c>
      <c r="J11" s="348">
        <f t="shared" si="2"/>
        <v>32.04</v>
      </c>
      <c r="K11" s="369">
        <v>0</v>
      </c>
      <c r="L11" s="370">
        <f t="shared" si="3"/>
        <v>0.41749999999999998</v>
      </c>
      <c r="M11" s="558">
        <f t="shared" si="4"/>
        <v>0.1</v>
      </c>
      <c r="N11" s="556">
        <f t="shared" si="5"/>
        <v>414.80750000000006</v>
      </c>
      <c r="O11" s="528">
        <v>0.23435</v>
      </c>
      <c r="P11" s="451">
        <f t="shared" si="6"/>
        <v>541.77169725070212</v>
      </c>
      <c r="Q11" s="451">
        <f t="shared" si="7"/>
        <v>609.3848050675897</v>
      </c>
    </row>
    <row r="12" spans="1:17" ht="14.25" customHeight="1" x14ac:dyDescent="0.3">
      <c r="A12" s="638"/>
      <c r="B12" s="561">
        <v>16</v>
      </c>
      <c r="C12" s="373">
        <v>100</v>
      </c>
      <c r="D12" s="562">
        <v>8.64</v>
      </c>
      <c r="E12" s="563">
        <v>0</v>
      </c>
      <c r="F12" s="564"/>
      <c r="G12" s="375">
        <v>2.5000000000000001E-2</v>
      </c>
      <c r="H12" s="434">
        <f t="shared" si="0"/>
        <v>8.6650000000000009</v>
      </c>
      <c r="I12" s="377">
        <f t="shared" si="1"/>
        <v>600.48</v>
      </c>
      <c r="J12" s="348">
        <f t="shared" si="2"/>
        <v>0</v>
      </c>
      <c r="K12" s="379"/>
      <c r="L12" s="380">
        <f t="shared" si="3"/>
        <v>0.41749999999999998</v>
      </c>
      <c r="M12" s="565"/>
      <c r="N12" s="556">
        <f t="shared" si="5"/>
        <v>600.89750000000004</v>
      </c>
      <c r="O12" s="528">
        <v>0.23435</v>
      </c>
      <c r="P12" s="451">
        <f t="shared" si="6"/>
        <v>784.82008750734678</v>
      </c>
      <c r="Q12" s="451">
        <f t="shared" si="7"/>
        <v>882.76563442826364</v>
      </c>
    </row>
    <row r="13" spans="1:17" ht="14.25" customHeight="1" x14ac:dyDescent="0.3">
      <c r="A13" s="636" t="s">
        <v>91</v>
      </c>
      <c r="B13" s="551" t="s">
        <v>175</v>
      </c>
      <c r="C13" s="342">
        <v>100</v>
      </c>
      <c r="D13" s="566">
        <v>0.88</v>
      </c>
      <c r="E13" s="567">
        <v>1.6</v>
      </c>
      <c r="F13" s="568">
        <f t="shared" ref="F13:F17" si="8">E13*0.7936%</f>
        <v>1.2697600000000002E-2</v>
      </c>
      <c r="G13" s="375">
        <v>2.5000000000000001E-2</v>
      </c>
      <c r="H13" s="346">
        <f t="shared" si="0"/>
        <v>2.5176976</v>
      </c>
      <c r="I13" s="554">
        <f t="shared" si="1"/>
        <v>61.160000000000004</v>
      </c>
      <c r="J13" s="554">
        <f t="shared" si="2"/>
        <v>14.240000000000002</v>
      </c>
      <c r="K13" s="569">
        <f t="shared" ref="K13:K23" si="9">$K$5*F13</f>
        <v>0.32962969600000003</v>
      </c>
      <c r="L13" s="350">
        <f t="shared" si="3"/>
        <v>0.41749999999999998</v>
      </c>
      <c r="M13" s="555">
        <f t="shared" ref="M13:M23" si="10">$M$5</f>
        <v>0.1</v>
      </c>
      <c r="N13" s="556">
        <f t="shared" si="5"/>
        <v>76.247129696000002</v>
      </c>
      <c r="O13" s="528"/>
      <c r="P13" s="451"/>
      <c r="Q13" s="451"/>
    </row>
    <row r="14" spans="1:17" ht="14.25" customHeight="1" x14ac:dyDescent="0.3">
      <c r="A14" s="637"/>
      <c r="B14" s="559" t="s">
        <v>31</v>
      </c>
      <c r="C14" s="356">
        <v>100</v>
      </c>
      <c r="D14" s="478">
        <v>1.1000000000000001</v>
      </c>
      <c r="E14" s="570">
        <v>2.1</v>
      </c>
      <c r="F14" s="532">
        <f t="shared" si="8"/>
        <v>1.6665600000000003E-2</v>
      </c>
      <c r="G14" s="375">
        <v>2.5000000000000001E-2</v>
      </c>
      <c r="H14" s="524">
        <f t="shared" si="0"/>
        <v>3.2416656000000001</v>
      </c>
      <c r="I14" s="347">
        <f t="shared" si="1"/>
        <v>76.45</v>
      </c>
      <c r="J14" s="554">
        <f t="shared" si="2"/>
        <v>18.690000000000001</v>
      </c>
      <c r="K14" s="534">
        <f t="shared" si="9"/>
        <v>0.43263897600000006</v>
      </c>
      <c r="L14" s="370">
        <f t="shared" si="3"/>
        <v>0.41749999999999998</v>
      </c>
      <c r="M14" s="558">
        <f t="shared" si="10"/>
        <v>0.1</v>
      </c>
      <c r="N14" s="556">
        <f t="shared" si="5"/>
        <v>96.090138976000006</v>
      </c>
      <c r="O14" s="528"/>
      <c r="P14" s="451"/>
      <c r="Q14" s="451"/>
    </row>
    <row r="15" spans="1:17" ht="14.25" customHeight="1" x14ac:dyDescent="0.3">
      <c r="A15" s="637"/>
      <c r="B15" s="559" t="s">
        <v>32</v>
      </c>
      <c r="C15" s="356">
        <v>100</v>
      </c>
      <c r="D15" s="478">
        <v>1.54</v>
      </c>
      <c r="E15" s="570">
        <v>2.2999999999999998</v>
      </c>
      <c r="F15" s="532">
        <f t="shared" si="8"/>
        <v>1.82528E-2</v>
      </c>
      <c r="G15" s="375">
        <v>2.5000000000000001E-2</v>
      </c>
      <c r="H15" s="524">
        <f t="shared" si="0"/>
        <v>3.8832527999999997</v>
      </c>
      <c r="I15" s="347">
        <f t="shared" si="1"/>
        <v>107.03</v>
      </c>
      <c r="J15" s="554">
        <f t="shared" si="2"/>
        <v>20.47</v>
      </c>
      <c r="K15" s="534">
        <f t="shared" si="9"/>
        <v>0.47384268800000001</v>
      </c>
      <c r="L15" s="370">
        <f t="shared" si="3"/>
        <v>0.41749999999999998</v>
      </c>
      <c r="M15" s="558">
        <f t="shared" si="10"/>
        <v>0.1</v>
      </c>
      <c r="N15" s="556">
        <f t="shared" si="5"/>
        <v>128.491342688</v>
      </c>
      <c r="O15" s="454">
        <v>0.24</v>
      </c>
      <c r="P15" s="451">
        <f t="shared" ref="P15:P23" si="11">N15/(1-O15)</f>
        <v>169.06755616842105</v>
      </c>
      <c r="Q15" s="451">
        <f t="shared" ref="Q15:Q23" si="12">P15+(P15*$Q$5)</f>
        <v>190.16718717824</v>
      </c>
    </row>
    <row r="16" spans="1:17" ht="14.25" customHeight="1" x14ac:dyDescent="0.3">
      <c r="A16" s="637"/>
      <c r="B16" s="559" t="s">
        <v>33</v>
      </c>
      <c r="C16" s="356">
        <v>100</v>
      </c>
      <c r="D16" s="478">
        <v>2.64</v>
      </c>
      <c r="E16" s="570">
        <v>2.8</v>
      </c>
      <c r="F16" s="532">
        <f t="shared" si="8"/>
        <v>2.2220799999999999E-2</v>
      </c>
      <c r="G16" s="375">
        <v>2.5000000000000001E-2</v>
      </c>
      <c r="H16" s="524">
        <f t="shared" si="0"/>
        <v>5.4872208000000002</v>
      </c>
      <c r="I16" s="347">
        <f t="shared" si="1"/>
        <v>183.48000000000002</v>
      </c>
      <c r="J16" s="554">
        <f t="shared" si="2"/>
        <v>24.919999999999998</v>
      </c>
      <c r="K16" s="534">
        <f t="shared" si="9"/>
        <v>0.57685196799999994</v>
      </c>
      <c r="L16" s="370">
        <f t="shared" si="3"/>
        <v>0.41749999999999998</v>
      </c>
      <c r="M16" s="558">
        <f t="shared" si="10"/>
        <v>0.1</v>
      </c>
      <c r="N16" s="556">
        <f t="shared" si="5"/>
        <v>209.49435196799999</v>
      </c>
      <c r="O16" s="454">
        <v>0.24</v>
      </c>
      <c r="P16" s="451">
        <f t="shared" si="11"/>
        <v>275.65046311578948</v>
      </c>
      <c r="Q16" s="451">
        <f t="shared" si="12"/>
        <v>310.05164091263998</v>
      </c>
    </row>
    <row r="17" spans="1:26" ht="14.25" customHeight="1" x14ac:dyDescent="0.3">
      <c r="A17" s="638"/>
      <c r="B17" s="571" t="s">
        <v>34</v>
      </c>
      <c r="C17" s="331">
        <v>100</v>
      </c>
      <c r="D17" s="572">
        <v>3.96</v>
      </c>
      <c r="E17" s="573">
        <v>3.5</v>
      </c>
      <c r="F17" s="574">
        <f t="shared" si="8"/>
        <v>2.7776000000000002E-2</v>
      </c>
      <c r="G17" s="575">
        <v>2.5000000000000001E-2</v>
      </c>
      <c r="H17" s="576">
        <f t="shared" si="0"/>
        <v>7.5127760000000006</v>
      </c>
      <c r="I17" s="577">
        <f t="shared" si="1"/>
        <v>275.21999999999997</v>
      </c>
      <c r="J17" s="554">
        <f t="shared" si="2"/>
        <v>31.150000000000002</v>
      </c>
      <c r="K17" s="578">
        <f t="shared" si="9"/>
        <v>0.72106496000000009</v>
      </c>
      <c r="L17" s="579">
        <f t="shared" si="3"/>
        <v>0.41749999999999998</v>
      </c>
      <c r="M17" s="580">
        <f t="shared" si="10"/>
        <v>0.1</v>
      </c>
      <c r="N17" s="581">
        <f t="shared" si="5"/>
        <v>307.60856495999997</v>
      </c>
      <c r="O17" s="454">
        <v>0.24</v>
      </c>
      <c r="P17" s="451">
        <f t="shared" si="11"/>
        <v>404.74811178947363</v>
      </c>
      <c r="Q17" s="451">
        <f t="shared" si="12"/>
        <v>455.26067614079994</v>
      </c>
    </row>
    <row r="18" spans="1:26" ht="14.25" customHeight="1" x14ac:dyDescent="0.3">
      <c r="A18" s="636"/>
      <c r="B18" s="551" t="s">
        <v>85</v>
      </c>
      <c r="C18" s="342">
        <v>100</v>
      </c>
      <c r="D18" s="566">
        <v>1.54</v>
      </c>
      <c r="E18" s="567">
        <v>8.4600000000000009</v>
      </c>
      <c r="F18" s="568">
        <v>0</v>
      </c>
      <c r="G18" s="582">
        <v>1.0229999999999999</v>
      </c>
      <c r="H18" s="346">
        <f t="shared" si="0"/>
        <v>11.023</v>
      </c>
      <c r="I18" s="554">
        <f t="shared" si="1"/>
        <v>107.03</v>
      </c>
      <c r="J18" s="554">
        <f t="shared" ref="J18:J23" si="13">($K$3*E18)</f>
        <v>72.333000000000013</v>
      </c>
      <c r="K18" s="569">
        <f t="shared" si="9"/>
        <v>0</v>
      </c>
      <c r="L18" s="350">
        <v>0.5</v>
      </c>
      <c r="M18" s="555">
        <f t="shared" si="10"/>
        <v>0.1</v>
      </c>
      <c r="N18" s="583">
        <f t="shared" si="5"/>
        <v>179.96299999999999</v>
      </c>
      <c r="O18" s="584">
        <v>1.24</v>
      </c>
      <c r="P18" s="451">
        <f t="shared" si="11"/>
        <v>-749.8458333333333</v>
      </c>
      <c r="Q18" s="451">
        <f t="shared" si="12"/>
        <v>-843.42659333333336</v>
      </c>
    </row>
    <row r="19" spans="1:26" ht="14.25" customHeight="1" x14ac:dyDescent="0.3">
      <c r="A19" s="637"/>
      <c r="B19" s="559" t="s">
        <v>86</v>
      </c>
      <c r="C19" s="356">
        <v>100</v>
      </c>
      <c r="D19" s="478">
        <v>2.64</v>
      </c>
      <c r="E19" s="570">
        <v>9.9619999999999997</v>
      </c>
      <c r="F19" s="532">
        <v>0</v>
      </c>
      <c r="G19" s="533">
        <v>2.0230000000000001</v>
      </c>
      <c r="H19" s="524">
        <f t="shared" si="0"/>
        <v>14.625</v>
      </c>
      <c r="I19" s="347">
        <f t="shared" si="1"/>
        <v>183.48000000000002</v>
      </c>
      <c r="J19" s="554">
        <f t="shared" si="13"/>
        <v>85.1751</v>
      </c>
      <c r="K19" s="534">
        <f t="shared" si="9"/>
        <v>0</v>
      </c>
      <c r="L19" s="350">
        <v>0.5</v>
      </c>
      <c r="M19" s="558">
        <f t="shared" si="10"/>
        <v>0.1</v>
      </c>
      <c r="N19" s="585">
        <f t="shared" si="5"/>
        <v>269.25510000000003</v>
      </c>
      <c r="O19" s="584">
        <v>2.2400000000000002</v>
      </c>
      <c r="P19" s="451">
        <f t="shared" si="11"/>
        <v>-217.14120967741934</v>
      </c>
      <c r="Q19" s="451">
        <f t="shared" si="12"/>
        <v>-244.24043264516126</v>
      </c>
    </row>
    <row r="20" spans="1:26" ht="14.25" customHeight="1" x14ac:dyDescent="0.3">
      <c r="A20" s="637"/>
      <c r="B20" s="559" t="s">
        <v>34</v>
      </c>
      <c r="C20" s="356">
        <v>100</v>
      </c>
      <c r="D20" s="478">
        <v>3.96</v>
      </c>
      <c r="E20" s="570">
        <v>13.54</v>
      </c>
      <c r="F20" s="532">
        <v>0</v>
      </c>
      <c r="G20" s="533">
        <v>3.0230000000000001</v>
      </c>
      <c r="H20" s="524">
        <f t="shared" si="0"/>
        <v>20.523</v>
      </c>
      <c r="I20" s="347">
        <f t="shared" si="1"/>
        <v>275.21999999999997</v>
      </c>
      <c r="J20" s="554">
        <f t="shared" si="13"/>
        <v>115.767</v>
      </c>
      <c r="K20" s="534">
        <f t="shared" si="9"/>
        <v>0</v>
      </c>
      <c r="L20" s="350">
        <v>0.5</v>
      </c>
      <c r="M20" s="558">
        <f t="shared" si="10"/>
        <v>0.1</v>
      </c>
      <c r="N20" s="585">
        <f t="shared" si="5"/>
        <v>391.58699999999999</v>
      </c>
      <c r="O20" s="584">
        <v>3.24</v>
      </c>
      <c r="P20" s="451">
        <f t="shared" si="11"/>
        <v>-174.81562499999998</v>
      </c>
      <c r="Q20" s="451">
        <f t="shared" si="12"/>
        <v>-196.63261499999999</v>
      </c>
    </row>
    <row r="21" spans="1:26" ht="14.25" customHeight="1" x14ac:dyDescent="0.3">
      <c r="A21" s="637"/>
      <c r="B21" s="559" t="s">
        <v>87</v>
      </c>
      <c r="C21" s="356">
        <v>100</v>
      </c>
      <c r="D21" s="478">
        <v>6.16</v>
      </c>
      <c r="E21" s="570">
        <v>16.34</v>
      </c>
      <c r="F21" s="532">
        <v>0</v>
      </c>
      <c r="G21" s="533">
        <v>4.0229999999999997</v>
      </c>
      <c r="H21" s="524">
        <f t="shared" si="0"/>
        <v>26.523</v>
      </c>
      <c r="I21" s="347">
        <f t="shared" si="1"/>
        <v>428.12</v>
      </c>
      <c r="J21" s="554">
        <f t="shared" si="13"/>
        <v>139.70700000000002</v>
      </c>
      <c r="K21" s="534">
        <f t="shared" si="9"/>
        <v>0</v>
      </c>
      <c r="L21" s="350">
        <v>0.5</v>
      </c>
      <c r="M21" s="558">
        <f t="shared" si="10"/>
        <v>0.1</v>
      </c>
      <c r="N21" s="585">
        <f t="shared" si="5"/>
        <v>568.42700000000002</v>
      </c>
      <c r="O21" s="584">
        <v>4.24</v>
      </c>
      <c r="P21" s="451">
        <f t="shared" si="11"/>
        <v>-175.44043209876543</v>
      </c>
      <c r="Q21" s="451">
        <f t="shared" si="12"/>
        <v>-197.33539802469136</v>
      </c>
    </row>
    <row r="22" spans="1:26" ht="14.25" customHeight="1" x14ac:dyDescent="0.3">
      <c r="A22" s="637"/>
      <c r="B22" s="559" t="s">
        <v>40</v>
      </c>
      <c r="C22" s="356">
        <v>100</v>
      </c>
      <c r="D22" s="478">
        <v>2.31</v>
      </c>
      <c r="E22" s="570">
        <v>10.69</v>
      </c>
      <c r="F22" s="532">
        <v>0</v>
      </c>
      <c r="G22" s="533">
        <v>5.0229999999999997</v>
      </c>
      <c r="H22" s="524">
        <f t="shared" si="0"/>
        <v>18.023</v>
      </c>
      <c r="I22" s="347">
        <f t="shared" si="1"/>
        <v>160.54500000000002</v>
      </c>
      <c r="J22" s="554">
        <f t="shared" si="13"/>
        <v>91.399500000000003</v>
      </c>
      <c r="K22" s="534">
        <f t="shared" si="9"/>
        <v>0</v>
      </c>
      <c r="L22" s="350">
        <v>0.5</v>
      </c>
      <c r="M22" s="558">
        <f t="shared" si="10"/>
        <v>0.1</v>
      </c>
      <c r="N22" s="585">
        <f t="shared" si="5"/>
        <v>252.5445</v>
      </c>
      <c r="O22" s="584">
        <v>5.24</v>
      </c>
      <c r="P22" s="451">
        <f t="shared" si="11"/>
        <v>-59.562382075471696</v>
      </c>
      <c r="Q22" s="451">
        <f t="shared" si="12"/>
        <v>-66.995767358490568</v>
      </c>
    </row>
    <row r="23" spans="1:26" ht="14.25" customHeight="1" x14ac:dyDescent="0.3">
      <c r="A23" s="638"/>
      <c r="B23" s="561" t="s">
        <v>88</v>
      </c>
      <c r="C23" s="373">
        <v>100</v>
      </c>
      <c r="D23" s="586">
        <v>3.96</v>
      </c>
      <c r="E23" s="587">
        <v>12.77</v>
      </c>
      <c r="F23" s="588">
        <v>0</v>
      </c>
      <c r="G23" s="589">
        <v>6.0229999999999997</v>
      </c>
      <c r="H23" s="434">
        <f t="shared" si="0"/>
        <v>22.753</v>
      </c>
      <c r="I23" s="377">
        <f t="shared" si="1"/>
        <v>275.21999999999997</v>
      </c>
      <c r="J23" s="554">
        <f t="shared" si="13"/>
        <v>109.18350000000001</v>
      </c>
      <c r="K23" s="590">
        <f t="shared" si="9"/>
        <v>0</v>
      </c>
      <c r="L23" s="350">
        <v>0.5</v>
      </c>
      <c r="M23" s="565">
        <f t="shared" si="10"/>
        <v>0.1</v>
      </c>
      <c r="N23" s="591">
        <f t="shared" si="5"/>
        <v>385.00350000000003</v>
      </c>
      <c r="O23" s="584">
        <v>6.24</v>
      </c>
      <c r="P23" s="451">
        <f t="shared" si="11"/>
        <v>-73.473950381679387</v>
      </c>
      <c r="Q23" s="451">
        <f t="shared" si="12"/>
        <v>-82.643499389312979</v>
      </c>
    </row>
    <row r="24" spans="1:26" ht="14.25" customHeight="1" x14ac:dyDescent="0.3">
      <c r="C24" s="92"/>
      <c r="F24" s="314"/>
      <c r="G24" s="314"/>
      <c r="I24" s="120"/>
      <c r="P24" s="122"/>
      <c r="Q24" s="122"/>
    </row>
    <row r="25" spans="1:26" ht="14.25" customHeight="1" x14ac:dyDescent="0.3">
      <c r="F25" s="314"/>
      <c r="G25" s="314"/>
      <c r="I25" s="120"/>
      <c r="O25" s="409"/>
      <c r="P25" s="122"/>
      <c r="Q25" s="122"/>
      <c r="R25" s="122"/>
      <c r="S25" s="122"/>
      <c r="T25" s="122"/>
      <c r="U25" s="122"/>
      <c r="V25" s="122"/>
      <c r="W25" s="122"/>
      <c r="X25" s="122"/>
      <c r="Y25" s="122"/>
      <c r="Z25" s="122"/>
    </row>
    <row r="26" spans="1:26" ht="14.25" customHeight="1" x14ac:dyDescent="0.3">
      <c r="A26" s="466" t="s">
        <v>205</v>
      </c>
      <c r="B26" s="491" t="s">
        <v>185</v>
      </c>
      <c r="C26" s="356" t="s">
        <v>206</v>
      </c>
      <c r="D26" s="492" t="s">
        <v>207</v>
      </c>
      <c r="E26" s="356" t="s">
        <v>208</v>
      </c>
      <c r="F26" s="356" t="s">
        <v>208</v>
      </c>
      <c r="G26" s="331" t="s">
        <v>209</v>
      </c>
      <c r="H26" s="331" t="s">
        <v>210</v>
      </c>
      <c r="I26" s="120"/>
      <c r="J26" s="314"/>
      <c r="O26" s="409"/>
      <c r="P26" s="122"/>
      <c r="Q26" s="122"/>
      <c r="R26" s="122"/>
      <c r="S26" s="122"/>
      <c r="T26" s="122"/>
      <c r="U26" s="122"/>
      <c r="V26" s="122"/>
      <c r="W26" s="122"/>
      <c r="X26" s="122"/>
      <c r="Y26" s="122"/>
      <c r="Z26" s="122"/>
    </row>
    <row r="27" spans="1:26" ht="14.25" customHeight="1" x14ac:dyDescent="0.3">
      <c r="A27" s="466" t="s">
        <v>229</v>
      </c>
      <c r="B27" s="493" t="s">
        <v>230</v>
      </c>
      <c r="C27" s="494">
        <f>F27/F29</f>
        <v>0.88888888888888884</v>
      </c>
      <c r="D27" s="493">
        <v>8</v>
      </c>
      <c r="E27" s="134">
        <v>25</v>
      </c>
      <c r="F27" s="535">
        <f t="shared" ref="F27:F28" si="14">D27*E27</f>
        <v>200</v>
      </c>
      <c r="G27" s="536" t="s">
        <v>231</v>
      </c>
      <c r="H27" s="332" t="s">
        <v>232</v>
      </c>
      <c r="I27" s="120"/>
      <c r="J27" s="314"/>
      <c r="O27" s="409"/>
      <c r="P27" s="122"/>
      <c r="Q27" s="122"/>
      <c r="R27" s="122"/>
      <c r="S27" s="122"/>
      <c r="T27" s="122"/>
      <c r="U27" s="122"/>
      <c r="V27" s="122"/>
      <c r="W27" s="122"/>
      <c r="X27" s="122"/>
      <c r="Y27" s="122"/>
      <c r="Z27" s="122"/>
    </row>
    <row r="28" spans="1:26" ht="14.25" customHeight="1" x14ac:dyDescent="0.3">
      <c r="A28" s="314"/>
      <c r="B28" s="493" t="s">
        <v>215</v>
      </c>
      <c r="C28" s="494">
        <f>F28/F29</f>
        <v>0.1111111111111111</v>
      </c>
      <c r="D28" s="493">
        <v>1</v>
      </c>
      <c r="E28" s="134">
        <v>25</v>
      </c>
      <c r="F28" s="535">
        <f t="shared" si="14"/>
        <v>25</v>
      </c>
      <c r="G28" s="537" t="s">
        <v>233</v>
      </c>
      <c r="H28" s="495" t="s">
        <v>234</v>
      </c>
      <c r="I28" s="120"/>
      <c r="J28" s="314"/>
      <c r="O28" s="409"/>
      <c r="P28" s="122"/>
      <c r="Q28" s="122"/>
      <c r="R28" s="122"/>
      <c r="S28" s="122"/>
      <c r="T28" s="122"/>
      <c r="U28" s="122"/>
      <c r="V28" s="122"/>
      <c r="W28" s="122"/>
      <c r="X28" s="122"/>
      <c r="Y28" s="122"/>
      <c r="Z28" s="122"/>
    </row>
    <row r="29" spans="1:26" ht="14.25" customHeight="1" x14ac:dyDescent="0.3">
      <c r="D29" s="450">
        <v>1</v>
      </c>
      <c r="E29" s="314"/>
      <c r="F29" s="535">
        <f>F27+F28</f>
        <v>225</v>
      </c>
      <c r="G29" s="537" t="s">
        <v>235</v>
      </c>
      <c r="H29" s="495" t="s">
        <v>236</v>
      </c>
      <c r="I29" s="120"/>
      <c r="J29" s="314"/>
      <c r="O29" s="409"/>
      <c r="P29" s="122"/>
      <c r="Q29" s="122"/>
      <c r="R29" s="122"/>
      <c r="S29" s="122"/>
      <c r="T29" s="122"/>
      <c r="U29" s="122"/>
      <c r="V29" s="122"/>
      <c r="W29" s="122"/>
      <c r="X29" s="122"/>
      <c r="Y29" s="122"/>
      <c r="Z29" s="122"/>
    </row>
    <row r="30" spans="1:26" ht="14.25" customHeight="1" x14ac:dyDescent="0.3">
      <c r="D30" s="538"/>
      <c r="E30" s="314"/>
      <c r="F30" s="1"/>
      <c r="G30" s="537" t="s">
        <v>237</v>
      </c>
      <c r="H30" s="495" t="s">
        <v>238</v>
      </c>
      <c r="I30" s="120"/>
      <c r="J30" s="314"/>
      <c r="O30" s="409"/>
      <c r="P30" s="122"/>
      <c r="Q30" s="122"/>
      <c r="R30" s="122"/>
      <c r="S30" s="122"/>
      <c r="T30" s="122"/>
      <c r="U30" s="122"/>
      <c r="V30" s="122"/>
      <c r="W30" s="122"/>
      <c r="X30" s="122"/>
      <c r="Y30" s="122"/>
      <c r="Z30" s="122"/>
    </row>
    <row r="31" spans="1:26" ht="14.25" customHeight="1" x14ac:dyDescent="0.3">
      <c r="D31" s="538"/>
      <c r="E31" s="314"/>
      <c r="F31" s="1"/>
      <c r="G31" s="539" t="s">
        <v>239</v>
      </c>
      <c r="H31" s="499" t="s">
        <v>240</v>
      </c>
      <c r="I31" s="120"/>
      <c r="J31" s="314"/>
      <c r="O31" s="409"/>
      <c r="P31" s="122"/>
      <c r="Q31" s="122"/>
      <c r="R31" s="122"/>
      <c r="S31" s="122"/>
      <c r="T31" s="122"/>
      <c r="U31" s="122"/>
      <c r="V31" s="122"/>
      <c r="W31" s="122"/>
      <c r="X31" s="122"/>
      <c r="Y31" s="122"/>
      <c r="Z31" s="122"/>
    </row>
    <row r="32" spans="1:26" ht="14.25" customHeight="1" x14ac:dyDescent="0.3">
      <c r="F32" s="314"/>
      <c r="G32" s="314"/>
      <c r="I32" s="170"/>
      <c r="J32" s="314"/>
      <c r="P32" s="122"/>
      <c r="Q32" s="122"/>
      <c r="R32" s="122"/>
      <c r="S32" s="122"/>
      <c r="T32" s="122"/>
      <c r="U32" s="122"/>
      <c r="V32" s="122"/>
      <c r="W32" s="122"/>
      <c r="X32" s="122"/>
      <c r="Y32" s="122"/>
      <c r="Z32" s="122"/>
    </row>
    <row r="33" spans="1:26" ht="15" customHeight="1" x14ac:dyDescent="0.3">
      <c r="B33" s="688" t="s">
        <v>203</v>
      </c>
      <c r="C33" s="683"/>
      <c r="D33" s="331" t="s">
        <v>167</v>
      </c>
      <c r="E33" s="331" t="s">
        <v>204</v>
      </c>
      <c r="F33" s="482" t="s">
        <v>229</v>
      </c>
      <c r="G33" s="483" t="s">
        <v>215</v>
      </c>
      <c r="H33" s="1" t="s">
        <v>216</v>
      </c>
      <c r="I33" s="170"/>
      <c r="J33" s="314"/>
      <c r="P33" s="122"/>
      <c r="Q33" s="122"/>
      <c r="R33" s="122"/>
      <c r="S33" s="122"/>
      <c r="T33" s="122"/>
      <c r="U33" s="122"/>
      <c r="V33" s="122"/>
      <c r="W33" s="122"/>
      <c r="X33" s="122"/>
      <c r="Y33" s="122"/>
      <c r="Z33" s="122"/>
    </row>
    <row r="34" spans="1:26" ht="15" customHeight="1" x14ac:dyDescent="0.3">
      <c r="B34" s="689"/>
      <c r="C34" s="685"/>
      <c r="D34" s="134"/>
      <c r="E34" s="332"/>
      <c r="F34" s="484">
        <f>C27</f>
        <v>0.88888888888888884</v>
      </c>
      <c r="G34" s="485">
        <f>C28</f>
        <v>0.1111111111111111</v>
      </c>
      <c r="I34" s="120"/>
      <c r="J34" s="314"/>
      <c r="P34" s="122"/>
      <c r="Q34" s="122"/>
      <c r="R34" s="122"/>
      <c r="S34" s="122"/>
      <c r="T34" s="122"/>
      <c r="U34" s="122"/>
      <c r="V34" s="122"/>
      <c r="W34" s="122"/>
      <c r="X34" s="122"/>
      <c r="Y34" s="122"/>
      <c r="Z34" s="122"/>
    </row>
    <row r="35" spans="1:26" ht="15" customHeight="1" x14ac:dyDescent="0.3">
      <c r="B35" s="689"/>
      <c r="C35" s="685"/>
      <c r="D35" s="486">
        <v>1</v>
      </c>
      <c r="E35" s="487">
        <f t="shared" ref="E35:E41" si="15">E6</f>
        <v>1</v>
      </c>
      <c r="F35" s="488">
        <f t="shared" ref="F35:F41" si="16">E35*$F$34</f>
        <v>0.88888888888888884</v>
      </c>
      <c r="G35" s="489">
        <f t="shared" ref="G35:G41" si="17">E35*$G$34</f>
        <v>0.1111111111111111</v>
      </c>
      <c r="H35" s="119">
        <f t="shared" ref="H35:H41" si="18">F35+G35-E35</f>
        <v>0</v>
      </c>
      <c r="I35" s="120"/>
      <c r="J35" s="314"/>
      <c r="P35" s="122"/>
      <c r="Q35" s="122"/>
      <c r="R35" s="122"/>
      <c r="S35" s="122"/>
      <c r="T35" s="122"/>
      <c r="U35" s="122"/>
      <c r="V35" s="122"/>
      <c r="W35" s="122"/>
      <c r="X35" s="122"/>
      <c r="Y35" s="122"/>
      <c r="Z35" s="122"/>
    </row>
    <row r="36" spans="1:26" ht="15" customHeight="1" x14ac:dyDescent="0.3">
      <c r="B36" s="689"/>
      <c r="C36" s="685"/>
      <c r="D36" s="486">
        <v>1.5</v>
      </c>
      <c r="E36" s="487">
        <f t="shared" si="15"/>
        <v>1.1000000000000001</v>
      </c>
      <c r="F36" s="488">
        <f t="shared" si="16"/>
        <v>0.97777777777777786</v>
      </c>
      <c r="G36" s="489">
        <f t="shared" si="17"/>
        <v>0.12222222222222223</v>
      </c>
      <c r="H36" s="119">
        <f t="shared" si="18"/>
        <v>0</v>
      </c>
      <c r="I36" s="120"/>
      <c r="J36" s="314"/>
      <c r="P36" s="122"/>
      <c r="Q36" s="122"/>
      <c r="R36" s="122"/>
      <c r="S36" s="122"/>
      <c r="T36" s="122"/>
      <c r="U36" s="122"/>
      <c r="V36" s="122"/>
      <c r="W36" s="122"/>
      <c r="X36" s="122"/>
      <c r="Y36" s="122"/>
      <c r="Z36" s="122"/>
    </row>
    <row r="37" spans="1:26" ht="15" customHeight="1" x14ac:dyDescent="0.3">
      <c r="B37" s="689"/>
      <c r="C37" s="685"/>
      <c r="D37" s="356">
        <v>2.5</v>
      </c>
      <c r="E37" s="487">
        <f t="shared" si="15"/>
        <v>1.5</v>
      </c>
      <c r="F37" s="488">
        <f t="shared" si="16"/>
        <v>1.3333333333333333</v>
      </c>
      <c r="G37" s="489">
        <f t="shared" si="17"/>
        <v>0.16666666666666666</v>
      </c>
      <c r="H37" s="119">
        <f t="shared" si="18"/>
        <v>0</v>
      </c>
      <c r="I37" s="120"/>
      <c r="P37" s="122"/>
      <c r="Q37" s="122"/>
      <c r="R37" s="122"/>
      <c r="S37" s="122"/>
      <c r="T37" s="122"/>
      <c r="U37" s="122"/>
      <c r="V37" s="122"/>
      <c r="W37" s="122"/>
      <c r="X37" s="122"/>
      <c r="Y37" s="122"/>
      <c r="Z37" s="122"/>
    </row>
    <row r="38" spans="1:26" ht="15" customHeight="1" x14ac:dyDescent="0.3">
      <c r="B38" s="689"/>
      <c r="C38" s="685"/>
      <c r="D38" s="356">
        <v>4</v>
      </c>
      <c r="E38" s="487">
        <f t="shared" si="15"/>
        <v>1.8</v>
      </c>
      <c r="F38" s="488">
        <f t="shared" si="16"/>
        <v>1.5999999999999999</v>
      </c>
      <c r="G38" s="489">
        <f t="shared" si="17"/>
        <v>0.19999999999999998</v>
      </c>
      <c r="H38" s="119">
        <f t="shared" si="18"/>
        <v>0</v>
      </c>
      <c r="I38" s="120"/>
      <c r="P38" s="122"/>
      <c r="Q38" s="122"/>
      <c r="R38" s="122"/>
      <c r="S38" s="122"/>
      <c r="T38" s="122"/>
      <c r="U38" s="122"/>
      <c r="V38" s="122"/>
      <c r="W38" s="122"/>
      <c r="X38" s="122"/>
      <c r="Y38" s="122"/>
      <c r="Z38" s="122"/>
    </row>
    <row r="39" spans="1:26" ht="15" customHeight="1" x14ac:dyDescent="0.3">
      <c r="B39" s="689"/>
      <c r="C39" s="685"/>
      <c r="D39" s="356">
        <v>6</v>
      </c>
      <c r="E39" s="487">
        <f t="shared" si="15"/>
        <v>2.2999999999999998</v>
      </c>
      <c r="F39" s="488">
        <f t="shared" si="16"/>
        <v>2.0444444444444443</v>
      </c>
      <c r="G39" s="489">
        <f t="shared" si="17"/>
        <v>0.25555555555555554</v>
      </c>
      <c r="H39" s="119">
        <f t="shared" si="18"/>
        <v>0</v>
      </c>
      <c r="I39" s="120"/>
      <c r="P39" s="122"/>
      <c r="Q39" s="122"/>
      <c r="R39" s="122"/>
      <c r="S39" s="122"/>
      <c r="T39" s="122"/>
      <c r="U39" s="122"/>
      <c r="V39" s="122"/>
      <c r="W39" s="122"/>
      <c r="X39" s="122"/>
      <c r="Y39" s="122"/>
      <c r="Z39" s="122"/>
    </row>
    <row r="40" spans="1:26" ht="15" customHeight="1" x14ac:dyDescent="0.3">
      <c r="B40" s="690"/>
      <c r="C40" s="692"/>
      <c r="D40" s="356">
        <v>10</v>
      </c>
      <c r="E40" s="487">
        <f t="shared" si="15"/>
        <v>3.6</v>
      </c>
      <c r="F40" s="488">
        <f t="shared" si="16"/>
        <v>3.1999999999999997</v>
      </c>
      <c r="G40" s="489">
        <f t="shared" si="17"/>
        <v>0.39999999999999997</v>
      </c>
      <c r="H40" s="119">
        <f t="shared" si="18"/>
        <v>0</v>
      </c>
      <c r="I40" s="170"/>
      <c r="P40" s="122"/>
      <c r="Q40" s="122"/>
      <c r="R40" s="122"/>
      <c r="S40" s="122"/>
      <c r="T40" s="122"/>
      <c r="U40" s="122"/>
      <c r="V40" s="122"/>
      <c r="W40" s="122"/>
      <c r="X40" s="122"/>
      <c r="Y40" s="122"/>
      <c r="Z40" s="122"/>
    </row>
    <row r="41" spans="1:26" ht="15" customHeight="1" x14ac:dyDescent="0.3">
      <c r="B41" s="540"/>
      <c r="C41" s="540"/>
      <c r="D41" s="356">
        <v>16</v>
      </c>
      <c r="E41" s="487">
        <f t="shared" si="15"/>
        <v>0</v>
      </c>
      <c r="F41" s="488">
        <f t="shared" si="16"/>
        <v>0</v>
      </c>
      <c r="G41" s="489">
        <f t="shared" si="17"/>
        <v>0</v>
      </c>
      <c r="H41" s="119">
        <f t="shared" si="18"/>
        <v>0</v>
      </c>
      <c r="I41" s="170"/>
      <c r="J41" s="1"/>
      <c r="P41" s="122"/>
      <c r="Q41" s="122"/>
    </row>
    <row r="42" spans="1:26" ht="14.25" customHeight="1" x14ac:dyDescent="0.3">
      <c r="F42" s="314"/>
      <c r="G42" s="314"/>
      <c r="I42" s="170"/>
      <c r="J42" s="1"/>
      <c r="P42" s="122"/>
      <c r="Q42" s="122"/>
    </row>
    <row r="43" spans="1:26" ht="9.75" customHeight="1" x14ac:dyDescent="0.3">
      <c r="A43" s="490"/>
      <c r="B43" s="490"/>
      <c r="C43" s="490"/>
      <c r="D43" s="490"/>
      <c r="E43" s="490"/>
      <c r="F43" s="490"/>
      <c r="G43" s="490"/>
      <c r="H43" s="490"/>
      <c r="I43" s="490"/>
      <c r="J43" s="541"/>
      <c r="K43" s="490"/>
      <c r="L43" s="490"/>
      <c r="M43" s="490"/>
      <c r="N43" s="490"/>
      <c r="P43" s="122"/>
      <c r="Q43" s="122"/>
    </row>
    <row r="44" spans="1:26" ht="14.25" customHeight="1" x14ac:dyDescent="0.3">
      <c r="F44" s="314"/>
      <c r="G44" s="314"/>
      <c r="I44" s="120"/>
      <c r="P44" s="122"/>
      <c r="Q44" s="122"/>
    </row>
    <row r="45" spans="1:26" ht="14.25" customHeight="1" x14ac:dyDescent="0.3">
      <c r="A45" s="466" t="s">
        <v>205</v>
      </c>
      <c r="B45" s="491" t="s">
        <v>185</v>
      </c>
      <c r="C45" s="356" t="s">
        <v>206</v>
      </c>
      <c r="D45" s="492" t="s">
        <v>207</v>
      </c>
      <c r="E45" s="356" t="s">
        <v>208</v>
      </c>
      <c r="F45" s="356" t="s">
        <v>208</v>
      </c>
      <c r="G45" s="356" t="s">
        <v>209</v>
      </c>
      <c r="H45" s="356" t="s">
        <v>210</v>
      </c>
      <c r="I45" s="120"/>
      <c r="P45" s="122"/>
      <c r="Q45" s="122"/>
    </row>
    <row r="46" spans="1:26" ht="14.25" customHeight="1" x14ac:dyDescent="0.3">
      <c r="A46" s="466" t="s">
        <v>229</v>
      </c>
      <c r="B46" s="493" t="s">
        <v>241</v>
      </c>
      <c r="C46" s="494">
        <f>F46/F48</f>
        <v>0.875</v>
      </c>
      <c r="D46" s="493">
        <v>7</v>
      </c>
      <c r="E46" s="134">
        <v>25</v>
      </c>
      <c r="F46" s="134">
        <f t="shared" ref="F46:F47" si="19">D46*E46</f>
        <v>175</v>
      </c>
      <c r="G46" s="332" t="s">
        <v>213</v>
      </c>
      <c r="H46" s="332" t="s">
        <v>214</v>
      </c>
      <c r="I46" s="120"/>
      <c r="P46" s="122"/>
      <c r="Q46" s="122"/>
    </row>
    <row r="47" spans="1:26" ht="14.25" customHeight="1" x14ac:dyDescent="0.3">
      <c r="A47" s="314"/>
      <c r="B47" s="493" t="s">
        <v>215</v>
      </c>
      <c r="C47" s="494">
        <f>F47/F48</f>
        <v>0.125</v>
      </c>
      <c r="D47" s="493">
        <v>1</v>
      </c>
      <c r="E47" s="134">
        <v>25</v>
      </c>
      <c r="F47" s="134">
        <f t="shared" si="19"/>
        <v>25</v>
      </c>
      <c r="G47" s="495"/>
      <c r="H47" s="495"/>
      <c r="I47" s="120"/>
      <c r="P47" s="122"/>
      <c r="Q47" s="122"/>
    </row>
    <row r="48" spans="1:26" ht="14.25" customHeight="1" x14ac:dyDescent="0.3">
      <c r="A48" s="314"/>
      <c r="B48" s="314"/>
      <c r="C48" s="496"/>
      <c r="D48" s="450">
        <v>1</v>
      </c>
      <c r="F48" s="134">
        <f>F46+F47</f>
        <v>200</v>
      </c>
      <c r="G48" s="498"/>
      <c r="H48" s="499"/>
      <c r="I48" s="120"/>
      <c r="P48" s="122"/>
      <c r="Q48" s="122"/>
    </row>
    <row r="49" spans="1:17" ht="14.25" customHeight="1" x14ac:dyDescent="0.3">
      <c r="F49" s="314"/>
      <c r="G49" s="314"/>
      <c r="I49" s="120"/>
      <c r="P49" s="122"/>
      <c r="Q49" s="122"/>
    </row>
    <row r="50" spans="1:17" ht="15" customHeight="1" x14ac:dyDescent="0.3">
      <c r="B50" s="688" t="s">
        <v>203</v>
      </c>
      <c r="C50" s="683"/>
      <c r="D50" s="331" t="s">
        <v>167</v>
      </c>
      <c r="E50" s="331" t="s">
        <v>204</v>
      </c>
      <c r="F50" s="482" t="s">
        <v>229</v>
      </c>
      <c r="G50" s="483" t="s">
        <v>215</v>
      </c>
      <c r="H50" s="1" t="s">
        <v>216</v>
      </c>
      <c r="I50" s="120"/>
      <c r="P50" s="122"/>
      <c r="Q50" s="122"/>
    </row>
    <row r="51" spans="1:17" ht="15" customHeight="1" x14ac:dyDescent="0.3">
      <c r="B51" s="689"/>
      <c r="C51" s="685"/>
      <c r="D51" s="134"/>
      <c r="E51" s="332"/>
      <c r="F51" s="484">
        <f>C46</f>
        <v>0.875</v>
      </c>
      <c r="G51" s="485">
        <f>C47</f>
        <v>0.125</v>
      </c>
      <c r="I51" s="120"/>
      <c r="P51" s="122"/>
      <c r="Q51" s="122"/>
    </row>
    <row r="52" spans="1:17" ht="15" customHeight="1" x14ac:dyDescent="0.3">
      <c r="B52" s="689"/>
      <c r="C52" s="685"/>
      <c r="D52" s="486">
        <v>1</v>
      </c>
      <c r="E52" s="487">
        <f t="shared" ref="E52:E57" si="20">E6</f>
        <v>1</v>
      </c>
      <c r="F52" s="500">
        <f t="shared" ref="F52:F57" si="21">E52*$F$51</f>
        <v>0.875</v>
      </c>
      <c r="G52" s="489">
        <f t="shared" ref="G52:G57" si="22">E52*$G$51</f>
        <v>0.125</v>
      </c>
      <c r="H52" s="119">
        <f t="shared" ref="H52:H57" si="23">F52+G52-E52</f>
        <v>0</v>
      </c>
      <c r="I52" s="120"/>
      <c r="P52" s="122"/>
      <c r="Q52" s="122"/>
    </row>
    <row r="53" spans="1:17" ht="15" customHeight="1" x14ac:dyDescent="0.3">
      <c r="B53" s="689"/>
      <c r="C53" s="685"/>
      <c r="D53" s="486">
        <v>1.5</v>
      </c>
      <c r="E53" s="487">
        <f t="shared" si="20"/>
        <v>1.1000000000000001</v>
      </c>
      <c r="F53" s="500">
        <f t="shared" si="21"/>
        <v>0.96250000000000013</v>
      </c>
      <c r="G53" s="489">
        <f t="shared" si="22"/>
        <v>0.13750000000000001</v>
      </c>
      <c r="H53" s="119">
        <f t="shared" si="23"/>
        <v>0</v>
      </c>
      <c r="I53" s="120"/>
      <c r="P53" s="122"/>
      <c r="Q53" s="122"/>
    </row>
    <row r="54" spans="1:17" ht="15" customHeight="1" x14ac:dyDescent="0.3">
      <c r="B54" s="689"/>
      <c r="C54" s="685"/>
      <c r="D54" s="356">
        <v>2.5</v>
      </c>
      <c r="E54" s="487">
        <f t="shared" si="20"/>
        <v>1.5</v>
      </c>
      <c r="F54" s="500">
        <f t="shared" si="21"/>
        <v>1.3125</v>
      </c>
      <c r="G54" s="489">
        <f t="shared" si="22"/>
        <v>0.1875</v>
      </c>
      <c r="H54" s="119">
        <f t="shared" si="23"/>
        <v>0</v>
      </c>
      <c r="I54" s="120"/>
      <c r="P54" s="122"/>
      <c r="Q54" s="122"/>
    </row>
    <row r="55" spans="1:17" ht="15" customHeight="1" x14ac:dyDescent="0.3">
      <c r="B55" s="689"/>
      <c r="C55" s="685"/>
      <c r="D55" s="356">
        <v>4</v>
      </c>
      <c r="E55" s="487">
        <f t="shared" si="20"/>
        <v>1.8</v>
      </c>
      <c r="F55" s="500">
        <f t="shared" si="21"/>
        <v>1.575</v>
      </c>
      <c r="G55" s="489">
        <f t="shared" si="22"/>
        <v>0.22500000000000001</v>
      </c>
      <c r="H55" s="119">
        <f t="shared" si="23"/>
        <v>0</v>
      </c>
      <c r="I55" s="120"/>
      <c r="P55" s="122"/>
      <c r="Q55" s="122"/>
    </row>
    <row r="56" spans="1:17" ht="15" customHeight="1" x14ac:dyDescent="0.3">
      <c r="B56" s="689"/>
      <c r="C56" s="685"/>
      <c r="D56" s="356">
        <v>6</v>
      </c>
      <c r="E56" s="487">
        <f t="shared" si="20"/>
        <v>2.2999999999999998</v>
      </c>
      <c r="F56" s="500">
        <f t="shared" si="21"/>
        <v>2.0124999999999997</v>
      </c>
      <c r="G56" s="489">
        <f t="shared" si="22"/>
        <v>0.28749999999999998</v>
      </c>
      <c r="H56" s="119">
        <f t="shared" si="23"/>
        <v>0</v>
      </c>
      <c r="I56" s="120"/>
      <c r="P56" s="122"/>
      <c r="Q56" s="122"/>
    </row>
    <row r="57" spans="1:17" ht="15" customHeight="1" x14ac:dyDescent="0.3">
      <c r="B57" s="690"/>
      <c r="C57" s="692"/>
      <c r="D57" s="356">
        <v>10</v>
      </c>
      <c r="E57" s="487">
        <f t="shared" si="20"/>
        <v>3.6</v>
      </c>
      <c r="F57" s="500">
        <f t="shared" si="21"/>
        <v>3.15</v>
      </c>
      <c r="G57" s="489">
        <f t="shared" si="22"/>
        <v>0.45</v>
      </c>
      <c r="H57" s="119">
        <f t="shared" si="23"/>
        <v>0</v>
      </c>
      <c r="I57" s="120"/>
      <c r="P57" s="122"/>
      <c r="Q57" s="122"/>
    </row>
    <row r="58" spans="1:17" ht="14.25" customHeight="1" x14ac:dyDescent="0.3">
      <c r="F58" s="314"/>
      <c r="G58" s="314"/>
      <c r="I58" s="120"/>
      <c r="P58" s="122"/>
      <c r="Q58" s="122"/>
    </row>
    <row r="59" spans="1:17" ht="15" customHeight="1" x14ac:dyDescent="0.3">
      <c r="A59" s="696" t="s">
        <v>242</v>
      </c>
      <c r="B59" s="682"/>
      <c r="C59" s="683"/>
      <c r="D59" s="331" t="s">
        <v>167</v>
      </c>
      <c r="E59" s="331" t="s">
        <v>204</v>
      </c>
      <c r="F59" s="482" t="s">
        <v>229</v>
      </c>
      <c r="G59" s="331" t="s">
        <v>243</v>
      </c>
      <c r="H59" s="1" t="s">
        <v>216</v>
      </c>
      <c r="I59" s="170"/>
      <c r="J59" s="1"/>
      <c r="P59" s="122"/>
      <c r="Q59" s="122"/>
    </row>
    <row r="60" spans="1:17" ht="15" customHeight="1" x14ac:dyDescent="0.3">
      <c r="A60" s="689"/>
      <c r="B60" s="610"/>
      <c r="C60" s="685"/>
      <c r="D60" s="134"/>
      <c r="E60" s="332"/>
      <c r="F60" s="484">
        <v>1</v>
      </c>
      <c r="G60" s="542">
        <v>7.9360000000000003E-3</v>
      </c>
      <c r="I60" s="120"/>
      <c r="P60" s="122"/>
      <c r="Q60" s="122"/>
    </row>
    <row r="61" spans="1:17" ht="15" customHeight="1" x14ac:dyDescent="0.3">
      <c r="A61" s="689"/>
      <c r="B61" s="610"/>
      <c r="C61" s="685"/>
      <c r="D61" s="491" t="s">
        <v>32</v>
      </c>
      <c r="E61" s="543">
        <f t="shared" ref="E61:E63" si="24">E15</f>
        <v>2.2999999999999998</v>
      </c>
      <c r="F61" s="544">
        <f t="shared" ref="F61:F63" si="25">E61*$F$60</f>
        <v>2.2999999999999998</v>
      </c>
      <c r="G61" s="545">
        <f t="shared" ref="G61:G63" si="26">E61*$G$60</f>
        <v>1.82528E-2</v>
      </c>
      <c r="H61" s="119">
        <f t="shared" ref="H61:H63" si="27">F61+G61-E15-F15</f>
        <v>-4.163336342344337E-17</v>
      </c>
      <c r="I61" s="120"/>
      <c r="P61" s="122"/>
      <c r="Q61" s="122"/>
    </row>
    <row r="62" spans="1:17" ht="15" customHeight="1" x14ac:dyDescent="0.3">
      <c r="A62" s="689"/>
      <c r="B62" s="610"/>
      <c r="C62" s="685"/>
      <c r="D62" s="491" t="s">
        <v>33</v>
      </c>
      <c r="E62" s="543">
        <f t="shared" si="24"/>
        <v>2.8</v>
      </c>
      <c r="F62" s="544">
        <f t="shared" si="25"/>
        <v>2.8</v>
      </c>
      <c r="G62" s="545">
        <f t="shared" si="26"/>
        <v>2.2220799999999999E-2</v>
      </c>
      <c r="H62" s="119">
        <f t="shared" si="27"/>
        <v>-6.9388939039072284E-17</v>
      </c>
      <c r="I62" s="120"/>
      <c r="P62" s="122"/>
      <c r="Q62" s="122"/>
    </row>
    <row r="63" spans="1:17" ht="15" customHeight="1" x14ac:dyDescent="0.3">
      <c r="A63" s="690"/>
      <c r="B63" s="691"/>
      <c r="C63" s="692"/>
      <c r="D63" s="491" t="s">
        <v>34</v>
      </c>
      <c r="E63" s="543">
        <f t="shared" si="24"/>
        <v>3.5</v>
      </c>
      <c r="F63" s="544">
        <f t="shared" si="25"/>
        <v>3.5</v>
      </c>
      <c r="G63" s="545">
        <f t="shared" si="26"/>
        <v>2.7776000000000002E-2</v>
      </c>
      <c r="H63" s="119">
        <f t="shared" si="27"/>
        <v>-2.0122792321330962E-16</v>
      </c>
      <c r="I63" s="120"/>
      <c r="P63" s="122"/>
      <c r="Q63" s="122"/>
    </row>
    <row r="64" spans="1:17" ht="14.25" customHeight="1" x14ac:dyDescent="0.3">
      <c r="F64" s="314"/>
      <c r="G64" s="314"/>
      <c r="I64" s="120"/>
      <c r="P64" s="122"/>
      <c r="Q64" s="122"/>
    </row>
    <row r="65" spans="6:17" ht="14.25" customHeight="1" x14ac:dyDescent="0.3">
      <c r="F65" s="314"/>
      <c r="G65" s="314"/>
      <c r="I65" s="120"/>
      <c r="P65" s="122"/>
      <c r="Q65" s="122"/>
    </row>
    <row r="66" spans="6:17" ht="14.25" customHeight="1" x14ac:dyDescent="0.3">
      <c r="F66" s="314"/>
      <c r="G66" s="314"/>
      <c r="I66" s="120"/>
      <c r="P66" s="122"/>
      <c r="Q66" s="122"/>
    </row>
    <row r="67" spans="6:17" ht="14.25" customHeight="1" x14ac:dyDescent="0.3">
      <c r="F67" s="314"/>
      <c r="G67" s="314"/>
      <c r="I67" s="120"/>
      <c r="P67" s="122"/>
      <c r="Q67" s="122"/>
    </row>
    <row r="68" spans="6:17" ht="14.25" customHeight="1" x14ac:dyDescent="0.3">
      <c r="F68" s="314"/>
      <c r="G68" s="314"/>
      <c r="I68" s="120"/>
      <c r="P68" s="122"/>
      <c r="Q68" s="122"/>
    </row>
    <row r="69" spans="6:17" ht="14.25" customHeight="1" x14ac:dyDescent="0.3">
      <c r="F69" s="314"/>
      <c r="G69" s="314"/>
      <c r="I69" s="120"/>
      <c r="P69" s="122"/>
      <c r="Q69" s="122"/>
    </row>
    <row r="70" spans="6:17" ht="14.25" customHeight="1" x14ac:dyDescent="0.3">
      <c r="F70" s="314"/>
      <c r="G70" s="314"/>
      <c r="I70" s="120"/>
      <c r="P70" s="122"/>
      <c r="Q70" s="122"/>
    </row>
    <row r="71" spans="6:17" ht="14.25" customHeight="1" x14ac:dyDescent="0.3">
      <c r="F71" s="314"/>
      <c r="G71" s="314"/>
      <c r="I71" s="120"/>
      <c r="P71" s="122"/>
      <c r="Q71" s="122"/>
    </row>
    <row r="72" spans="6:17" ht="14.25" customHeight="1" x14ac:dyDescent="0.3">
      <c r="F72" s="314"/>
      <c r="G72" s="314"/>
      <c r="I72" s="120"/>
      <c r="P72" s="122"/>
      <c r="Q72" s="122"/>
    </row>
    <row r="73" spans="6:17" ht="14.25" customHeight="1" x14ac:dyDescent="0.3">
      <c r="F73" s="314"/>
      <c r="G73" s="314"/>
      <c r="I73" s="120"/>
      <c r="P73" s="122"/>
      <c r="Q73" s="122"/>
    </row>
    <row r="74" spans="6:17" ht="14.25" customHeight="1" x14ac:dyDescent="0.3">
      <c r="F74" s="314"/>
      <c r="G74" s="314"/>
      <c r="I74" s="120"/>
      <c r="P74" s="122"/>
      <c r="Q74" s="122"/>
    </row>
    <row r="75" spans="6:17" ht="14.25" customHeight="1" x14ac:dyDescent="0.3">
      <c r="F75" s="314"/>
      <c r="G75" s="314"/>
      <c r="I75" s="120"/>
      <c r="P75" s="122"/>
      <c r="Q75" s="122"/>
    </row>
    <row r="76" spans="6:17" ht="14.25" customHeight="1" x14ac:dyDescent="0.3">
      <c r="F76" s="314"/>
      <c r="G76" s="314"/>
      <c r="I76" s="120"/>
      <c r="P76" s="122"/>
      <c r="Q76" s="122"/>
    </row>
    <row r="77" spans="6:17" ht="14.25" customHeight="1" x14ac:dyDescent="0.3">
      <c r="F77" s="314"/>
      <c r="G77" s="314"/>
      <c r="I77" s="120"/>
      <c r="P77" s="122"/>
      <c r="Q77" s="122"/>
    </row>
    <row r="78" spans="6:17" ht="14.25" customHeight="1" x14ac:dyDescent="0.3">
      <c r="F78" s="314"/>
      <c r="G78" s="314"/>
      <c r="I78" s="120"/>
      <c r="P78" s="122"/>
      <c r="Q78" s="122"/>
    </row>
    <row r="79" spans="6:17" ht="14.25" customHeight="1" x14ac:dyDescent="0.3">
      <c r="F79" s="314"/>
      <c r="G79" s="314"/>
      <c r="I79" s="120"/>
      <c r="P79" s="122"/>
      <c r="Q79" s="122"/>
    </row>
    <row r="80" spans="6:17" ht="14.25" customHeight="1" x14ac:dyDescent="0.3">
      <c r="F80" s="314"/>
      <c r="G80" s="314"/>
      <c r="I80" s="120"/>
      <c r="P80" s="122"/>
      <c r="Q80" s="122"/>
    </row>
    <row r="81" spans="6:17" ht="14.25" customHeight="1" x14ac:dyDescent="0.3">
      <c r="F81" s="314"/>
      <c r="G81" s="314"/>
      <c r="I81" s="120"/>
      <c r="P81" s="122"/>
      <c r="Q81" s="122"/>
    </row>
    <row r="82" spans="6:17" ht="14.25" customHeight="1" x14ac:dyDescent="0.3">
      <c r="F82" s="314"/>
      <c r="G82" s="314"/>
      <c r="I82" s="120"/>
      <c r="P82" s="122"/>
      <c r="Q82" s="122"/>
    </row>
    <row r="83" spans="6:17" ht="14.25" customHeight="1" x14ac:dyDescent="0.3">
      <c r="F83" s="314"/>
      <c r="G83" s="314"/>
      <c r="I83" s="120"/>
      <c r="P83" s="122"/>
      <c r="Q83" s="122"/>
    </row>
    <row r="84" spans="6:17" ht="14.25" customHeight="1" x14ac:dyDescent="0.3">
      <c r="F84" s="314"/>
      <c r="G84" s="314"/>
      <c r="I84" s="120"/>
      <c r="P84" s="122"/>
      <c r="Q84" s="122"/>
    </row>
    <row r="85" spans="6:17" ht="14.25" customHeight="1" x14ac:dyDescent="0.3">
      <c r="F85" s="314"/>
      <c r="G85" s="314"/>
      <c r="I85" s="120"/>
      <c r="P85" s="122"/>
      <c r="Q85" s="122"/>
    </row>
    <row r="86" spans="6:17" ht="14.25" customHeight="1" x14ac:dyDescent="0.3">
      <c r="F86" s="314"/>
      <c r="G86" s="314"/>
      <c r="I86" s="120"/>
      <c r="P86" s="122"/>
      <c r="Q86" s="122"/>
    </row>
    <row r="87" spans="6:17" ht="14.25" customHeight="1" x14ac:dyDescent="0.3">
      <c r="F87" s="314"/>
      <c r="G87" s="314"/>
      <c r="I87" s="120"/>
      <c r="P87" s="122"/>
      <c r="Q87" s="122"/>
    </row>
    <row r="88" spans="6:17" ht="14.25" customHeight="1" x14ac:dyDescent="0.3">
      <c r="F88" s="314"/>
      <c r="G88" s="314"/>
      <c r="I88" s="120"/>
      <c r="P88" s="122"/>
      <c r="Q88" s="122"/>
    </row>
    <row r="89" spans="6:17" ht="14.25" customHeight="1" x14ac:dyDescent="0.3">
      <c r="F89" s="314"/>
      <c r="G89" s="314"/>
      <c r="I89" s="120"/>
      <c r="P89" s="122"/>
      <c r="Q89" s="122"/>
    </row>
    <row r="90" spans="6:17" ht="14.25" customHeight="1" x14ac:dyDescent="0.3">
      <c r="F90" s="314"/>
      <c r="G90" s="314"/>
      <c r="I90" s="120"/>
      <c r="P90" s="122"/>
      <c r="Q90" s="122"/>
    </row>
    <row r="91" spans="6:17" ht="14.25" customHeight="1" x14ac:dyDescent="0.3">
      <c r="F91" s="314"/>
      <c r="G91" s="314"/>
      <c r="I91" s="120"/>
      <c r="P91" s="122"/>
      <c r="Q91" s="122"/>
    </row>
    <row r="92" spans="6:17" ht="14.25" customHeight="1" x14ac:dyDescent="0.3">
      <c r="F92" s="314"/>
      <c r="G92" s="314"/>
      <c r="I92" s="120"/>
      <c r="P92" s="122"/>
      <c r="Q92" s="122"/>
    </row>
    <row r="93" spans="6:17" ht="14.25" customHeight="1" x14ac:dyDescent="0.3">
      <c r="F93" s="314"/>
      <c r="G93" s="314"/>
      <c r="I93" s="120"/>
      <c r="P93" s="122"/>
      <c r="Q93" s="122"/>
    </row>
    <row r="94" spans="6:17" ht="14.25" customHeight="1" x14ac:dyDescent="0.3">
      <c r="F94" s="314"/>
      <c r="G94" s="314"/>
      <c r="I94" s="120"/>
      <c r="P94" s="122"/>
      <c r="Q94" s="122"/>
    </row>
    <row r="95" spans="6:17" ht="14.25" customHeight="1" x14ac:dyDescent="0.3">
      <c r="F95" s="314"/>
      <c r="G95" s="314"/>
      <c r="I95" s="120"/>
      <c r="P95" s="122"/>
      <c r="Q95" s="122"/>
    </row>
    <row r="96" spans="6:17" ht="14.25" customHeight="1" x14ac:dyDescent="0.3">
      <c r="F96" s="314"/>
      <c r="G96" s="314"/>
      <c r="I96" s="120"/>
      <c r="P96" s="122"/>
      <c r="Q96" s="122"/>
    </row>
    <row r="97" spans="6:17" ht="14.25" customHeight="1" x14ac:dyDescent="0.3">
      <c r="F97" s="314"/>
      <c r="G97" s="314"/>
      <c r="I97" s="120"/>
      <c r="P97" s="122"/>
      <c r="Q97" s="122"/>
    </row>
    <row r="98" spans="6:17" ht="14.25" customHeight="1" x14ac:dyDescent="0.3">
      <c r="F98" s="314"/>
      <c r="G98" s="314"/>
      <c r="I98" s="120"/>
      <c r="P98" s="122"/>
      <c r="Q98" s="122"/>
    </row>
    <row r="99" spans="6:17" ht="14.25" customHeight="1" x14ac:dyDescent="0.3">
      <c r="F99" s="314"/>
      <c r="G99" s="314"/>
      <c r="I99" s="120"/>
      <c r="P99" s="122"/>
      <c r="Q99" s="122"/>
    </row>
    <row r="100" spans="6:17" ht="14.25" customHeight="1" x14ac:dyDescent="0.3">
      <c r="F100" s="314"/>
      <c r="G100" s="314"/>
      <c r="I100" s="120"/>
      <c r="P100" s="122"/>
      <c r="Q100" s="122"/>
    </row>
    <row r="101" spans="6:17" ht="14.25" customHeight="1" x14ac:dyDescent="0.3">
      <c r="F101" s="314"/>
      <c r="G101" s="314"/>
      <c r="I101" s="120"/>
      <c r="P101" s="122"/>
      <c r="Q101" s="122"/>
    </row>
    <row r="102" spans="6:17" ht="14.25" customHeight="1" x14ac:dyDescent="0.3">
      <c r="F102" s="314"/>
      <c r="G102" s="314"/>
      <c r="I102" s="120"/>
      <c r="P102" s="122"/>
      <c r="Q102" s="122"/>
    </row>
    <row r="103" spans="6:17" ht="14.25" customHeight="1" x14ac:dyDescent="0.3">
      <c r="F103" s="314"/>
      <c r="G103" s="314"/>
      <c r="I103" s="120"/>
      <c r="P103" s="122"/>
      <c r="Q103" s="122"/>
    </row>
    <row r="104" spans="6:17" ht="14.25" customHeight="1" x14ac:dyDescent="0.3">
      <c r="F104" s="314"/>
      <c r="G104" s="314"/>
      <c r="I104" s="120"/>
      <c r="P104" s="122"/>
      <c r="Q104" s="122"/>
    </row>
    <row r="105" spans="6:17" ht="14.25" customHeight="1" x14ac:dyDescent="0.3">
      <c r="F105" s="314"/>
      <c r="G105" s="314"/>
      <c r="I105" s="120"/>
      <c r="P105" s="122"/>
      <c r="Q105" s="122"/>
    </row>
    <row r="106" spans="6:17" ht="14.25" customHeight="1" x14ac:dyDescent="0.3">
      <c r="F106" s="314"/>
      <c r="G106" s="314"/>
      <c r="I106" s="120"/>
      <c r="P106" s="122"/>
      <c r="Q106" s="122"/>
    </row>
    <row r="107" spans="6:17" ht="14.25" customHeight="1" x14ac:dyDescent="0.3">
      <c r="F107" s="314"/>
      <c r="G107" s="314"/>
      <c r="I107" s="120"/>
      <c r="P107" s="122"/>
      <c r="Q107" s="122"/>
    </row>
    <row r="108" spans="6:17" ht="14.25" customHeight="1" x14ac:dyDescent="0.3">
      <c r="F108" s="314"/>
      <c r="G108" s="314"/>
      <c r="I108" s="120"/>
      <c r="P108" s="122"/>
      <c r="Q108" s="122"/>
    </row>
    <row r="109" spans="6:17" ht="14.25" customHeight="1" x14ac:dyDescent="0.3">
      <c r="F109" s="314"/>
      <c r="G109" s="314"/>
      <c r="I109" s="120"/>
      <c r="P109" s="122"/>
      <c r="Q109" s="122"/>
    </row>
    <row r="110" spans="6:17" ht="14.25" customHeight="1" x14ac:dyDescent="0.3">
      <c r="F110" s="314"/>
      <c r="G110" s="314"/>
      <c r="I110" s="120"/>
      <c r="P110" s="122"/>
      <c r="Q110" s="122"/>
    </row>
    <row r="111" spans="6:17" ht="14.25" customHeight="1" x14ac:dyDescent="0.3">
      <c r="F111" s="314"/>
      <c r="G111" s="314"/>
      <c r="I111" s="120"/>
      <c r="P111" s="122"/>
      <c r="Q111" s="122"/>
    </row>
    <row r="112" spans="6:17" ht="14.25" customHeight="1" x14ac:dyDescent="0.3">
      <c r="F112" s="314"/>
      <c r="G112" s="314"/>
      <c r="I112" s="120"/>
      <c r="P112" s="122"/>
      <c r="Q112" s="122"/>
    </row>
    <row r="113" spans="6:17" ht="14.25" customHeight="1" x14ac:dyDescent="0.3">
      <c r="F113" s="314"/>
      <c r="G113" s="314"/>
      <c r="I113" s="120"/>
      <c r="P113" s="122"/>
      <c r="Q113" s="122"/>
    </row>
    <row r="114" spans="6:17" ht="14.25" customHeight="1" x14ac:dyDescent="0.3">
      <c r="F114" s="314"/>
      <c r="G114" s="314"/>
      <c r="I114" s="120"/>
      <c r="P114" s="122"/>
      <c r="Q114" s="122"/>
    </row>
    <row r="115" spans="6:17" ht="14.25" customHeight="1" x14ac:dyDescent="0.3">
      <c r="F115" s="314"/>
      <c r="G115" s="314"/>
      <c r="I115" s="120"/>
      <c r="P115" s="122"/>
      <c r="Q115" s="122"/>
    </row>
    <row r="116" spans="6:17" ht="14.25" customHeight="1" x14ac:dyDescent="0.3">
      <c r="F116" s="314"/>
      <c r="G116" s="314"/>
      <c r="I116" s="120"/>
      <c r="P116" s="122"/>
      <c r="Q116" s="122"/>
    </row>
    <row r="117" spans="6:17" ht="14.25" customHeight="1" x14ac:dyDescent="0.3">
      <c r="F117" s="314"/>
      <c r="G117" s="314"/>
      <c r="I117" s="120"/>
      <c r="P117" s="122"/>
      <c r="Q117" s="122"/>
    </row>
    <row r="118" spans="6:17" ht="14.25" customHeight="1" x14ac:dyDescent="0.3">
      <c r="F118" s="314"/>
      <c r="G118" s="314"/>
      <c r="I118" s="120"/>
      <c r="P118" s="122"/>
      <c r="Q118" s="122"/>
    </row>
    <row r="119" spans="6:17" ht="14.25" customHeight="1" x14ac:dyDescent="0.3">
      <c r="F119" s="314"/>
      <c r="G119" s="314"/>
      <c r="I119" s="120"/>
      <c r="P119" s="122"/>
      <c r="Q119" s="122"/>
    </row>
    <row r="120" spans="6:17" ht="14.25" customHeight="1" x14ac:dyDescent="0.3">
      <c r="F120" s="314"/>
      <c r="G120" s="314"/>
      <c r="I120" s="120"/>
      <c r="P120" s="122"/>
      <c r="Q120" s="122"/>
    </row>
    <row r="121" spans="6:17" ht="14.25" customHeight="1" x14ac:dyDescent="0.3">
      <c r="F121" s="314"/>
      <c r="G121" s="314"/>
      <c r="I121" s="120"/>
      <c r="P121" s="122"/>
      <c r="Q121" s="122"/>
    </row>
    <row r="122" spans="6:17" ht="14.25" customHeight="1" x14ac:dyDescent="0.3">
      <c r="F122" s="314"/>
      <c r="G122" s="314"/>
      <c r="I122" s="120"/>
      <c r="P122" s="122"/>
      <c r="Q122" s="122"/>
    </row>
    <row r="123" spans="6:17" ht="14.25" customHeight="1" x14ac:dyDescent="0.3">
      <c r="F123" s="314"/>
      <c r="G123" s="314"/>
      <c r="I123" s="120"/>
      <c r="P123" s="122"/>
      <c r="Q123" s="122"/>
    </row>
    <row r="124" spans="6:17" ht="14.25" customHeight="1" x14ac:dyDescent="0.3">
      <c r="F124" s="314"/>
      <c r="G124" s="314"/>
      <c r="I124" s="120"/>
      <c r="P124" s="122"/>
      <c r="Q124" s="122"/>
    </row>
    <row r="125" spans="6:17" ht="14.25" customHeight="1" x14ac:dyDescent="0.3">
      <c r="F125" s="314"/>
      <c r="G125" s="314"/>
      <c r="I125" s="120"/>
      <c r="P125" s="122"/>
      <c r="Q125" s="122"/>
    </row>
    <row r="126" spans="6:17" ht="14.25" customHeight="1" x14ac:dyDescent="0.3">
      <c r="F126" s="314"/>
      <c r="G126" s="314"/>
      <c r="I126" s="120"/>
      <c r="P126" s="122"/>
      <c r="Q126" s="122"/>
    </row>
    <row r="127" spans="6:17" ht="14.25" customHeight="1" x14ac:dyDescent="0.3">
      <c r="F127" s="314"/>
      <c r="G127" s="314"/>
      <c r="I127" s="120"/>
      <c r="P127" s="122"/>
      <c r="Q127" s="122"/>
    </row>
    <row r="128" spans="6:17" ht="14.25" customHeight="1" x14ac:dyDescent="0.3">
      <c r="F128" s="314"/>
      <c r="G128" s="314"/>
      <c r="I128" s="120"/>
      <c r="P128" s="122"/>
      <c r="Q128" s="122"/>
    </row>
    <row r="129" spans="6:17" ht="14.25" customHeight="1" x14ac:dyDescent="0.3">
      <c r="F129" s="314"/>
      <c r="G129" s="314"/>
      <c r="I129" s="120"/>
      <c r="P129" s="122"/>
      <c r="Q129" s="122"/>
    </row>
    <row r="130" spans="6:17" ht="14.25" customHeight="1" x14ac:dyDescent="0.3">
      <c r="F130" s="314"/>
      <c r="G130" s="314"/>
      <c r="I130" s="120"/>
      <c r="P130" s="122"/>
      <c r="Q130" s="122"/>
    </row>
    <row r="131" spans="6:17" ht="14.25" customHeight="1" x14ac:dyDescent="0.3">
      <c r="F131" s="314"/>
      <c r="G131" s="314"/>
      <c r="I131" s="120"/>
      <c r="P131" s="122"/>
      <c r="Q131" s="122"/>
    </row>
    <row r="132" spans="6:17" ht="14.25" customHeight="1" x14ac:dyDescent="0.3">
      <c r="F132" s="314"/>
      <c r="G132" s="314"/>
      <c r="I132" s="120"/>
      <c r="P132" s="122"/>
      <c r="Q132" s="122"/>
    </row>
    <row r="133" spans="6:17" ht="14.25" customHeight="1" x14ac:dyDescent="0.3">
      <c r="F133" s="314"/>
      <c r="G133" s="314"/>
      <c r="I133" s="120"/>
      <c r="P133" s="122"/>
      <c r="Q133" s="122"/>
    </row>
    <row r="134" spans="6:17" ht="14.25" customHeight="1" x14ac:dyDescent="0.3">
      <c r="F134" s="314"/>
      <c r="G134" s="314"/>
      <c r="I134" s="120"/>
      <c r="P134" s="122"/>
      <c r="Q134" s="122"/>
    </row>
    <row r="135" spans="6:17" ht="14.25" customHeight="1" x14ac:dyDescent="0.3">
      <c r="F135" s="314"/>
      <c r="G135" s="314"/>
      <c r="I135" s="120"/>
      <c r="P135" s="122"/>
      <c r="Q135" s="122"/>
    </row>
    <row r="136" spans="6:17" ht="14.25" customHeight="1" x14ac:dyDescent="0.3">
      <c r="F136" s="314"/>
      <c r="G136" s="314"/>
      <c r="I136" s="120"/>
      <c r="P136" s="122"/>
      <c r="Q136" s="122"/>
    </row>
    <row r="137" spans="6:17" ht="14.25" customHeight="1" x14ac:dyDescent="0.3">
      <c r="F137" s="314"/>
      <c r="G137" s="314"/>
      <c r="I137" s="120"/>
      <c r="P137" s="122"/>
      <c r="Q137" s="122"/>
    </row>
    <row r="138" spans="6:17" ht="14.25" customHeight="1" x14ac:dyDescent="0.3">
      <c r="F138" s="314"/>
      <c r="G138" s="314"/>
      <c r="I138" s="120"/>
      <c r="P138" s="122"/>
      <c r="Q138" s="122"/>
    </row>
    <row r="139" spans="6:17" ht="14.25" customHeight="1" x14ac:dyDescent="0.3">
      <c r="F139" s="314"/>
      <c r="G139" s="314"/>
      <c r="I139" s="120"/>
      <c r="P139" s="122"/>
      <c r="Q139" s="122"/>
    </row>
    <row r="140" spans="6:17" ht="14.25" customHeight="1" x14ac:dyDescent="0.3">
      <c r="F140" s="314"/>
      <c r="G140" s="314"/>
      <c r="I140" s="120"/>
      <c r="P140" s="122"/>
      <c r="Q140" s="122"/>
    </row>
    <row r="141" spans="6:17" ht="14.25" customHeight="1" x14ac:dyDescent="0.3">
      <c r="F141" s="314"/>
      <c r="G141" s="314"/>
      <c r="I141" s="120"/>
      <c r="P141" s="122"/>
      <c r="Q141" s="122"/>
    </row>
    <row r="142" spans="6:17" ht="14.25" customHeight="1" x14ac:dyDescent="0.3">
      <c r="F142" s="314"/>
      <c r="G142" s="314"/>
      <c r="I142" s="120"/>
      <c r="P142" s="122"/>
      <c r="Q142" s="122"/>
    </row>
    <row r="143" spans="6:17" ht="14.25" customHeight="1" x14ac:dyDescent="0.3">
      <c r="F143" s="314"/>
      <c r="G143" s="314"/>
      <c r="I143" s="120"/>
      <c r="P143" s="122"/>
      <c r="Q143" s="122"/>
    </row>
    <row r="144" spans="6:17" ht="14.25" customHeight="1" x14ac:dyDescent="0.3">
      <c r="F144" s="314"/>
      <c r="G144" s="314"/>
      <c r="I144" s="120"/>
      <c r="P144" s="122"/>
      <c r="Q144" s="122"/>
    </row>
    <row r="145" spans="6:17" ht="14.25" customHeight="1" x14ac:dyDescent="0.3">
      <c r="F145" s="314"/>
      <c r="G145" s="314"/>
      <c r="I145" s="120"/>
      <c r="P145" s="122"/>
      <c r="Q145" s="122"/>
    </row>
    <row r="146" spans="6:17" ht="14.25" customHeight="1" x14ac:dyDescent="0.3">
      <c r="F146" s="314"/>
      <c r="G146" s="314"/>
      <c r="I146" s="120"/>
      <c r="P146" s="122"/>
      <c r="Q146" s="122"/>
    </row>
    <row r="147" spans="6:17" ht="14.25" customHeight="1" x14ac:dyDescent="0.3">
      <c r="F147" s="314"/>
      <c r="G147" s="314"/>
      <c r="I147" s="120"/>
      <c r="P147" s="122"/>
      <c r="Q147" s="122"/>
    </row>
    <row r="148" spans="6:17" ht="14.25" customHeight="1" x14ac:dyDescent="0.3">
      <c r="F148" s="314"/>
      <c r="G148" s="314"/>
      <c r="I148" s="120"/>
      <c r="P148" s="122"/>
      <c r="Q148" s="122"/>
    </row>
    <row r="149" spans="6:17" ht="14.25" customHeight="1" x14ac:dyDescent="0.3">
      <c r="F149" s="314"/>
      <c r="G149" s="314"/>
      <c r="I149" s="120"/>
      <c r="P149" s="122"/>
      <c r="Q149" s="122"/>
    </row>
    <row r="150" spans="6:17" ht="14.25" customHeight="1" x14ac:dyDescent="0.3">
      <c r="F150" s="314"/>
      <c r="G150" s="314"/>
      <c r="I150" s="120"/>
      <c r="P150" s="122"/>
      <c r="Q150" s="122"/>
    </row>
    <row r="151" spans="6:17" ht="14.25" customHeight="1" x14ac:dyDescent="0.3">
      <c r="F151" s="314"/>
      <c r="G151" s="314"/>
      <c r="I151" s="120"/>
      <c r="P151" s="122"/>
      <c r="Q151" s="122"/>
    </row>
    <row r="152" spans="6:17" ht="14.25" customHeight="1" x14ac:dyDescent="0.3">
      <c r="F152" s="314"/>
      <c r="G152" s="314"/>
      <c r="I152" s="120"/>
      <c r="P152" s="122"/>
      <c r="Q152" s="122"/>
    </row>
    <row r="153" spans="6:17" ht="14.25" customHeight="1" x14ac:dyDescent="0.3">
      <c r="F153" s="314"/>
      <c r="G153" s="314"/>
      <c r="I153" s="120"/>
      <c r="P153" s="122"/>
      <c r="Q153" s="122"/>
    </row>
    <row r="154" spans="6:17" ht="14.25" customHeight="1" x14ac:dyDescent="0.3">
      <c r="F154" s="314"/>
      <c r="G154" s="314"/>
      <c r="I154" s="120"/>
      <c r="P154" s="122"/>
      <c r="Q154" s="122"/>
    </row>
    <row r="155" spans="6:17" ht="14.25" customHeight="1" x14ac:dyDescent="0.3">
      <c r="F155" s="314"/>
      <c r="G155" s="314"/>
      <c r="I155" s="120"/>
      <c r="P155" s="122"/>
      <c r="Q155" s="122"/>
    </row>
    <row r="156" spans="6:17" ht="14.25" customHeight="1" x14ac:dyDescent="0.3">
      <c r="F156" s="314"/>
      <c r="G156" s="314"/>
      <c r="I156" s="120"/>
      <c r="P156" s="122"/>
      <c r="Q156" s="122"/>
    </row>
    <row r="157" spans="6:17" ht="14.25" customHeight="1" x14ac:dyDescent="0.3">
      <c r="F157" s="314"/>
      <c r="G157" s="314"/>
      <c r="I157" s="120"/>
      <c r="P157" s="122"/>
      <c r="Q157" s="122"/>
    </row>
    <row r="158" spans="6:17" ht="14.25" customHeight="1" x14ac:dyDescent="0.3">
      <c r="F158" s="314"/>
      <c r="G158" s="314"/>
      <c r="I158" s="120"/>
      <c r="P158" s="122"/>
      <c r="Q158" s="122"/>
    </row>
    <row r="159" spans="6:17" ht="14.25" customHeight="1" x14ac:dyDescent="0.3">
      <c r="F159" s="314"/>
      <c r="G159" s="314"/>
      <c r="I159" s="120"/>
      <c r="P159" s="122"/>
      <c r="Q159" s="122"/>
    </row>
    <row r="160" spans="6:17" ht="14.25" customHeight="1" x14ac:dyDescent="0.3">
      <c r="F160" s="314"/>
      <c r="G160" s="314"/>
      <c r="I160" s="120"/>
      <c r="P160" s="122"/>
      <c r="Q160" s="122"/>
    </row>
    <row r="161" spans="6:17" ht="14.25" customHeight="1" x14ac:dyDescent="0.3">
      <c r="F161" s="314"/>
      <c r="G161" s="314"/>
      <c r="I161" s="120"/>
      <c r="P161" s="122"/>
      <c r="Q161" s="122"/>
    </row>
    <row r="162" spans="6:17" ht="14.25" customHeight="1" x14ac:dyDescent="0.3">
      <c r="F162" s="314"/>
      <c r="G162" s="314"/>
      <c r="I162" s="120"/>
      <c r="P162" s="122"/>
      <c r="Q162" s="122"/>
    </row>
    <row r="163" spans="6:17" ht="14.25" customHeight="1" x14ac:dyDescent="0.3">
      <c r="F163" s="314"/>
      <c r="G163" s="314"/>
      <c r="I163" s="120"/>
      <c r="P163" s="122"/>
      <c r="Q163" s="122"/>
    </row>
    <row r="164" spans="6:17" ht="14.25" customHeight="1" x14ac:dyDescent="0.3">
      <c r="F164" s="314"/>
      <c r="G164" s="314"/>
      <c r="I164" s="120"/>
      <c r="P164" s="122"/>
      <c r="Q164" s="122"/>
    </row>
    <row r="165" spans="6:17" ht="14.25" customHeight="1" x14ac:dyDescent="0.3">
      <c r="F165" s="314"/>
      <c r="G165" s="314"/>
      <c r="I165" s="120"/>
      <c r="P165" s="122"/>
      <c r="Q165" s="122"/>
    </row>
    <row r="166" spans="6:17" ht="14.25" customHeight="1" x14ac:dyDescent="0.3">
      <c r="F166" s="314"/>
      <c r="G166" s="314"/>
      <c r="I166" s="120"/>
      <c r="P166" s="122"/>
      <c r="Q166" s="122"/>
    </row>
    <row r="167" spans="6:17" ht="14.25" customHeight="1" x14ac:dyDescent="0.3">
      <c r="F167" s="314"/>
      <c r="G167" s="314"/>
      <c r="I167" s="120"/>
      <c r="P167" s="122"/>
      <c r="Q167" s="122"/>
    </row>
    <row r="168" spans="6:17" ht="14.25" customHeight="1" x14ac:dyDescent="0.3">
      <c r="F168" s="314"/>
      <c r="G168" s="314"/>
      <c r="I168" s="120"/>
      <c r="P168" s="122"/>
      <c r="Q168" s="122"/>
    </row>
    <row r="169" spans="6:17" ht="14.25" customHeight="1" x14ac:dyDescent="0.3">
      <c r="F169" s="314"/>
      <c r="G169" s="314"/>
      <c r="I169" s="120"/>
      <c r="P169" s="122"/>
      <c r="Q169" s="122"/>
    </row>
    <row r="170" spans="6:17" ht="14.25" customHeight="1" x14ac:dyDescent="0.3">
      <c r="F170" s="314"/>
      <c r="G170" s="314"/>
      <c r="I170" s="120"/>
      <c r="P170" s="122"/>
      <c r="Q170" s="122"/>
    </row>
    <row r="171" spans="6:17" ht="14.25" customHeight="1" x14ac:dyDescent="0.3">
      <c r="F171" s="314"/>
      <c r="G171" s="314"/>
      <c r="I171" s="120"/>
      <c r="P171" s="122"/>
      <c r="Q171" s="122"/>
    </row>
    <row r="172" spans="6:17" ht="14.25" customHeight="1" x14ac:dyDescent="0.3">
      <c r="F172" s="314"/>
      <c r="G172" s="314"/>
      <c r="I172" s="120"/>
      <c r="P172" s="122"/>
      <c r="Q172" s="122"/>
    </row>
    <row r="173" spans="6:17" ht="14.25" customHeight="1" x14ac:dyDescent="0.3">
      <c r="F173" s="314"/>
      <c r="G173" s="314"/>
      <c r="I173" s="120"/>
      <c r="P173" s="122"/>
      <c r="Q173" s="122"/>
    </row>
    <row r="174" spans="6:17" ht="14.25" customHeight="1" x14ac:dyDescent="0.3">
      <c r="F174" s="314"/>
      <c r="G174" s="314"/>
      <c r="I174" s="120"/>
      <c r="P174" s="122"/>
      <c r="Q174" s="122"/>
    </row>
    <row r="175" spans="6:17" ht="14.25" customHeight="1" x14ac:dyDescent="0.3">
      <c r="F175" s="314"/>
      <c r="G175" s="314"/>
      <c r="I175" s="120"/>
      <c r="P175" s="122"/>
      <c r="Q175" s="122"/>
    </row>
    <row r="176" spans="6:17" ht="14.25" customHeight="1" x14ac:dyDescent="0.3">
      <c r="F176" s="314"/>
      <c r="G176" s="314"/>
      <c r="I176" s="120"/>
      <c r="P176" s="122"/>
      <c r="Q176" s="122"/>
    </row>
    <row r="177" spans="6:17" ht="14.25" customHeight="1" x14ac:dyDescent="0.3">
      <c r="F177" s="314"/>
      <c r="G177" s="314"/>
      <c r="I177" s="120"/>
      <c r="P177" s="122"/>
      <c r="Q177" s="122"/>
    </row>
    <row r="178" spans="6:17" ht="14.25" customHeight="1" x14ac:dyDescent="0.3">
      <c r="F178" s="314"/>
      <c r="G178" s="314"/>
      <c r="I178" s="120"/>
      <c r="P178" s="122"/>
      <c r="Q178" s="122"/>
    </row>
    <row r="179" spans="6:17" ht="14.25" customHeight="1" x14ac:dyDescent="0.3">
      <c r="F179" s="314"/>
      <c r="G179" s="314"/>
      <c r="I179" s="120"/>
      <c r="P179" s="122"/>
      <c r="Q179" s="122"/>
    </row>
    <row r="180" spans="6:17" ht="14.25" customHeight="1" x14ac:dyDescent="0.3">
      <c r="F180" s="314"/>
      <c r="G180" s="314"/>
      <c r="I180" s="120"/>
      <c r="P180" s="122"/>
      <c r="Q180" s="122"/>
    </row>
    <row r="181" spans="6:17" ht="14.25" customHeight="1" x14ac:dyDescent="0.3">
      <c r="F181" s="314"/>
      <c r="G181" s="314"/>
      <c r="I181" s="120"/>
      <c r="P181" s="122"/>
      <c r="Q181" s="122"/>
    </row>
    <row r="182" spans="6:17" ht="14.25" customHeight="1" x14ac:dyDescent="0.3">
      <c r="F182" s="314"/>
      <c r="G182" s="314"/>
      <c r="I182" s="120"/>
      <c r="P182" s="122"/>
      <c r="Q182" s="122"/>
    </row>
    <row r="183" spans="6:17" ht="14.25" customHeight="1" x14ac:dyDescent="0.3">
      <c r="F183" s="314"/>
      <c r="G183" s="314"/>
      <c r="I183" s="120"/>
      <c r="P183" s="122"/>
      <c r="Q183" s="122"/>
    </row>
    <row r="184" spans="6:17" ht="14.25" customHeight="1" x14ac:dyDescent="0.3">
      <c r="F184" s="314"/>
      <c r="G184" s="314"/>
      <c r="I184" s="120"/>
      <c r="P184" s="122"/>
      <c r="Q184" s="122"/>
    </row>
    <row r="185" spans="6:17" ht="14.25" customHeight="1" x14ac:dyDescent="0.3">
      <c r="F185" s="314"/>
      <c r="G185" s="314"/>
      <c r="I185" s="120"/>
      <c r="P185" s="122"/>
      <c r="Q185" s="122"/>
    </row>
    <row r="186" spans="6:17" ht="14.25" customHeight="1" x14ac:dyDescent="0.3">
      <c r="F186" s="314"/>
      <c r="G186" s="314"/>
      <c r="I186" s="120"/>
      <c r="P186" s="122"/>
      <c r="Q186" s="122"/>
    </row>
    <row r="187" spans="6:17" ht="14.25" customHeight="1" x14ac:dyDescent="0.3">
      <c r="F187" s="314"/>
      <c r="G187" s="314"/>
      <c r="I187" s="120"/>
      <c r="P187" s="122"/>
      <c r="Q187" s="122"/>
    </row>
    <row r="188" spans="6:17" ht="14.25" customHeight="1" x14ac:dyDescent="0.3">
      <c r="F188" s="314"/>
      <c r="G188" s="314"/>
      <c r="I188" s="120"/>
      <c r="P188" s="122"/>
      <c r="Q188" s="122"/>
    </row>
    <row r="189" spans="6:17" ht="14.25" customHeight="1" x14ac:dyDescent="0.3">
      <c r="F189" s="314"/>
      <c r="G189" s="314"/>
      <c r="I189" s="120"/>
      <c r="P189" s="122"/>
      <c r="Q189" s="122"/>
    </row>
    <row r="190" spans="6:17" ht="14.25" customHeight="1" x14ac:dyDescent="0.3">
      <c r="F190" s="314"/>
      <c r="G190" s="314"/>
      <c r="I190" s="120"/>
      <c r="P190" s="122"/>
      <c r="Q190" s="122"/>
    </row>
    <row r="191" spans="6:17" ht="14.25" customHeight="1" x14ac:dyDescent="0.3">
      <c r="F191" s="314"/>
      <c r="G191" s="314"/>
      <c r="I191" s="120"/>
      <c r="P191" s="122"/>
      <c r="Q191" s="122"/>
    </row>
    <row r="192" spans="6:17" ht="14.25" customHeight="1" x14ac:dyDescent="0.3">
      <c r="F192" s="314"/>
      <c r="G192" s="314"/>
      <c r="I192" s="120"/>
      <c r="P192" s="122"/>
      <c r="Q192" s="122"/>
    </row>
    <row r="193" spans="6:17" ht="14.25" customHeight="1" x14ac:dyDescent="0.3">
      <c r="F193" s="314"/>
      <c r="G193" s="314"/>
      <c r="I193" s="120"/>
      <c r="P193" s="122"/>
      <c r="Q193" s="122"/>
    </row>
    <row r="194" spans="6:17" ht="14.25" customHeight="1" x14ac:dyDescent="0.3">
      <c r="F194" s="314"/>
      <c r="G194" s="314"/>
      <c r="I194" s="120"/>
      <c r="P194" s="122"/>
      <c r="Q194" s="122"/>
    </row>
    <row r="195" spans="6:17" ht="14.25" customHeight="1" x14ac:dyDescent="0.3">
      <c r="F195" s="314"/>
      <c r="G195" s="314"/>
      <c r="I195" s="120"/>
      <c r="P195" s="122"/>
      <c r="Q195" s="122"/>
    </row>
    <row r="196" spans="6:17" ht="14.25" customHeight="1" x14ac:dyDescent="0.3">
      <c r="F196" s="314"/>
      <c r="G196" s="314"/>
      <c r="I196" s="120"/>
      <c r="P196" s="122"/>
      <c r="Q196" s="122"/>
    </row>
    <row r="197" spans="6:17" ht="14.25" customHeight="1" x14ac:dyDescent="0.3">
      <c r="F197" s="314"/>
      <c r="G197" s="314"/>
      <c r="I197" s="120"/>
      <c r="P197" s="122"/>
      <c r="Q197" s="122"/>
    </row>
    <row r="198" spans="6:17" ht="14.25" customHeight="1" x14ac:dyDescent="0.3">
      <c r="F198" s="314"/>
      <c r="G198" s="314"/>
      <c r="I198" s="120"/>
      <c r="P198" s="122"/>
      <c r="Q198" s="122"/>
    </row>
    <row r="199" spans="6:17" ht="14.25" customHeight="1" x14ac:dyDescent="0.3">
      <c r="F199" s="314"/>
      <c r="G199" s="314"/>
      <c r="I199" s="120"/>
      <c r="P199" s="122"/>
      <c r="Q199" s="122"/>
    </row>
    <row r="200" spans="6:17" ht="14.25" customHeight="1" x14ac:dyDescent="0.3">
      <c r="F200" s="314"/>
      <c r="G200" s="314"/>
      <c r="I200" s="120"/>
      <c r="P200" s="122"/>
      <c r="Q200" s="122"/>
    </row>
    <row r="201" spans="6:17" ht="14.25" customHeight="1" x14ac:dyDescent="0.3">
      <c r="F201" s="314"/>
      <c r="G201" s="314"/>
      <c r="I201" s="120"/>
      <c r="P201" s="122"/>
      <c r="Q201" s="122"/>
    </row>
    <row r="202" spans="6:17" ht="14.25" customHeight="1" x14ac:dyDescent="0.3">
      <c r="F202" s="314"/>
      <c r="G202" s="314"/>
      <c r="I202" s="120"/>
      <c r="P202" s="122"/>
      <c r="Q202" s="122"/>
    </row>
    <row r="203" spans="6:17" ht="14.25" customHeight="1" x14ac:dyDescent="0.3">
      <c r="F203" s="314"/>
      <c r="G203" s="314"/>
      <c r="I203" s="120"/>
      <c r="P203" s="122"/>
      <c r="Q203" s="122"/>
    </row>
    <row r="204" spans="6:17" ht="14.25" customHeight="1" x14ac:dyDescent="0.3">
      <c r="F204" s="314"/>
      <c r="G204" s="314"/>
      <c r="I204" s="120"/>
      <c r="P204" s="122"/>
      <c r="Q204" s="122"/>
    </row>
    <row r="205" spans="6:17" ht="14.25" customHeight="1" x14ac:dyDescent="0.3">
      <c r="F205" s="314"/>
      <c r="G205" s="314"/>
      <c r="I205" s="120"/>
      <c r="P205" s="122"/>
      <c r="Q205" s="122"/>
    </row>
    <row r="206" spans="6:17" ht="14.25" customHeight="1" x14ac:dyDescent="0.3">
      <c r="F206" s="314"/>
      <c r="G206" s="314"/>
      <c r="I206" s="120"/>
      <c r="P206" s="122"/>
      <c r="Q206" s="122"/>
    </row>
    <row r="207" spans="6:17" ht="14.25" customHeight="1" x14ac:dyDescent="0.3">
      <c r="F207" s="314"/>
      <c r="G207" s="314"/>
      <c r="I207" s="120"/>
      <c r="P207" s="122"/>
      <c r="Q207" s="122"/>
    </row>
    <row r="208" spans="6:17" ht="14.25" customHeight="1" x14ac:dyDescent="0.3">
      <c r="F208" s="314"/>
      <c r="G208" s="314"/>
      <c r="I208" s="120"/>
      <c r="P208" s="122"/>
      <c r="Q208" s="122"/>
    </row>
    <row r="209" spans="6:17" ht="14.25" customHeight="1" x14ac:dyDescent="0.3">
      <c r="F209" s="314"/>
      <c r="G209" s="314"/>
      <c r="I209" s="120"/>
      <c r="P209" s="122"/>
      <c r="Q209" s="122"/>
    </row>
    <row r="210" spans="6:17" ht="14.25" customHeight="1" x14ac:dyDescent="0.3">
      <c r="F210" s="314"/>
      <c r="G210" s="314"/>
      <c r="I210" s="120"/>
      <c r="P210" s="122"/>
      <c r="Q210" s="122"/>
    </row>
    <row r="211" spans="6:17" ht="14.25" customHeight="1" x14ac:dyDescent="0.3">
      <c r="F211" s="314"/>
      <c r="G211" s="314"/>
      <c r="I211" s="120"/>
      <c r="P211" s="122"/>
      <c r="Q211" s="122"/>
    </row>
    <row r="212" spans="6:17" ht="14.25" customHeight="1" x14ac:dyDescent="0.3">
      <c r="F212" s="314"/>
      <c r="G212" s="314"/>
      <c r="I212" s="120"/>
      <c r="P212" s="122"/>
      <c r="Q212" s="122"/>
    </row>
    <row r="213" spans="6:17" ht="14.25" customHeight="1" x14ac:dyDescent="0.3">
      <c r="F213" s="314"/>
      <c r="G213" s="314"/>
      <c r="I213" s="120"/>
      <c r="P213" s="122"/>
      <c r="Q213" s="122"/>
    </row>
    <row r="214" spans="6:17" ht="14.25" customHeight="1" x14ac:dyDescent="0.3">
      <c r="F214" s="314"/>
      <c r="G214" s="314"/>
      <c r="I214" s="120"/>
      <c r="P214" s="122"/>
      <c r="Q214" s="122"/>
    </row>
    <row r="215" spans="6:17" ht="14.25" customHeight="1" x14ac:dyDescent="0.3">
      <c r="F215" s="314"/>
      <c r="G215" s="314"/>
      <c r="I215" s="120"/>
      <c r="P215" s="122"/>
      <c r="Q215" s="122"/>
    </row>
    <row r="216" spans="6:17" ht="14.25" customHeight="1" x14ac:dyDescent="0.3">
      <c r="F216" s="314"/>
      <c r="G216" s="314"/>
      <c r="I216" s="120"/>
      <c r="P216" s="122"/>
      <c r="Q216" s="122"/>
    </row>
    <row r="217" spans="6:17" ht="14.25" customHeight="1" x14ac:dyDescent="0.3">
      <c r="F217" s="314"/>
      <c r="G217" s="314"/>
      <c r="I217" s="120"/>
      <c r="P217" s="122"/>
      <c r="Q217" s="122"/>
    </row>
    <row r="218" spans="6:17" ht="14.25" customHeight="1" x14ac:dyDescent="0.3">
      <c r="F218" s="314"/>
      <c r="G218" s="314"/>
      <c r="I218" s="120"/>
      <c r="P218" s="122"/>
      <c r="Q218" s="122"/>
    </row>
    <row r="219" spans="6:17" ht="14.25" customHeight="1" x14ac:dyDescent="0.3">
      <c r="F219" s="314"/>
      <c r="G219" s="314"/>
      <c r="I219" s="120"/>
      <c r="P219" s="122"/>
      <c r="Q219" s="122"/>
    </row>
    <row r="220" spans="6:17" ht="14.25" customHeight="1" x14ac:dyDescent="0.3">
      <c r="F220" s="314"/>
      <c r="G220" s="314"/>
      <c r="I220" s="120"/>
      <c r="P220" s="122"/>
      <c r="Q220" s="122"/>
    </row>
    <row r="221" spans="6:17" ht="14.25" customHeight="1" x14ac:dyDescent="0.3">
      <c r="F221" s="314"/>
      <c r="G221" s="314"/>
      <c r="I221" s="120"/>
      <c r="P221" s="122"/>
      <c r="Q221" s="122"/>
    </row>
    <row r="222" spans="6:17" ht="14.25" customHeight="1" x14ac:dyDescent="0.3">
      <c r="F222" s="314"/>
      <c r="G222" s="314"/>
      <c r="I222" s="120"/>
      <c r="P222" s="122"/>
      <c r="Q222" s="122"/>
    </row>
    <row r="223" spans="6:17" ht="14.25" customHeight="1" x14ac:dyDescent="0.3">
      <c r="F223" s="314"/>
      <c r="G223" s="314"/>
      <c r="I223" s="120"/>
      <c r="P223" s="122"/>
      <c r="Q223" s="122"/>
    </row>
    <row r="224" spans="6:17" ht="14.25" customHeight="1" x14ac:dyDescent="0.3">
      <c r="F224" s="314"/>
      <c r="G224" s="314"/>
      <c r="I224" s="120"/>
      <c r="P224" s="122"/>
      <c r="Q224" s="122"/>
    </row>
    <row r="225" spans="6:17" ht="14.25" customHeight="1" x14ac:dyDescent="0.3">
      <c r="F225" s="314"/>
      <c r="G225" s="314"/>
      <c r="I225" s="120"/>
      <c r="P225" s="122"/>
      <c r="Q225" s="122"/>
    </row>
    <row r="226" spans="6:17" ht="14.25" customHeight="1" x14ac:dyDescent="0.3">
      <c r="F226" s="314"/>
      <c r="G226" s="314"/>
      <c r="I226" s="120"/>
      <c r="P226" s="122"/>
      <c r="Q226" s="122"/>
    </row>
    <row r="227" spans="6:17" ht="14.25" customHeight="1" x14ac:dyDescent="0.3">
      <c r="F227" s="314"/>
      <c r="G227" s="314"/>
      <c r="I227" s="120"/>
      <c r="P227" s="122"/>
      <c r="Q227" s="122"/>
    </row>
    <row r="228" spans="6:17" ht="14.25" customHeight="1" x14ac:dyDescent="0.3">
      <c r="F228" s="314"/>
      <c r="G228" s="314"/>
      <c r="I228" s="120"/>
      <c r="P228" s="122"/>
      <c r="Q228" s="122"/>
    </row>
    <row r="229" spans="6:17" ht="14.25" customHeight="1" x14ac:dyDescent="0.3">
      <c r="F229" s="314"/>
      <c r="G229" s="314"/>
      <c r="I229" s="120"/>
      <c r="P229" s="122"/>
      <c r="Q229" s="122"/>
    </row>
    <row r="230" spans="6:17" ht="14.25" customHeight="1" x14ac:dyDescent="0.3">
      <c r="F230" s="314"/>
      <c r="G230" s="314"/>
      <c r="I230" s="120"/>
      <c r="P230" s="122"/>
      <c r="Q230" s="122"/>
    </row>
    <row r="231" spans="6:17" ht="14.25" customHeight="1" x14ac:dyDescent="0.3">
      <c r="F231" s="314"/>
      <c r="G231" s="314"/>
      <c r="I231" s="120"/>
      <c r="P231" s="122"/>
      <c r="Q231" s="122"/>
    </row>
    <row r="232" spans="6:17" ht="14.25" customHeight="1" x14ac:dyDescent="0.3">
      <c r="F232" s="314"/>
      <c r="G232" s="314"/>
      <c r="I232" s="120"/>
      <c r="P232" s="122"/>
      <c r="Q232" s="122"/>
    </row>
    <row r="233" spans="6:17" ht="14.25" customHeight="1" x14ac:dyDescent="0.3">
      <c r="F233" s="314"/>
      <c r="G233" s="314"/>
      <c r="I233" s="120"/>
      <c r="P233" s="122"/>
      <c r="Q233" s="122"/>
    </row>
    <row r="234" spans="6:17" ht="14.25" customHeight="1" x14ac:dyDescent="0.3">
      <c r="F234" s="314"/>
      <c r="G234" s="314"/>
      <c r="I234" s="120"/>
      <c r="P234" s="122"/>
      <c r="Q234" s="122"/>
    </row>
    <row r="235" spans="6:17" ht="14.25" customHeight="1" x14ac:dyDescent="0.3">
      <c r="F235" s="314"/>
      <c r="G235" s="314"/>
      <c r="I235" s="120"/>
      <c r="P235" s="122"/>
      <c r="Q235" s="122"/>
    </row>
    <row r="236" spans="6:17" ht="14.25" customHeight="1" x14ac:dyDescent="0.3">
      <c r="F236" s="314"/>
      <c r="G236" s="314"/>
      <c r="I236" s="120"/>
      <c r="P236" s="122"/>
      <c r="Q236" s="122"/>
    </row>
    <row r="237" spans="6:17" ht="14.25" customHeight="1" x14ac:dyDescent="0.3">
      <c r="F237" s="314"/>
      <c r="G237" s="314"/>
      <c r="I237" s="120"/>
      <c r="P237" s="122"/>
      <c r="Q237" s="122"/>
    </row>
    <row r="238" spans="6:17" ht="14.25" customHeight="1" x14ac:dyDescent="0.3">
      <c r="F238" s="314"/>
      <c r="G238" s="314"/>
      <c r="I238" s="120"/>
      <c r="P238" s="122"/>
      <c r="Q238" s="122"/>
    </row>
    <row r="239" spans="6:17" ht="14.25" customHeight="1" x14ac:dyDescent="0.3">
      <c r="F239" s="314"/>
      <c r="G239" s="314"/>
      <c r="I239" s="120"/>
      <c r="P239" s="122"/>
      <c r="Q239" s="122"/>
    </row>
    <row r="240" spans="6:17" ht="14.25" customHeight="1" x14ac:dyDescent="0.3">
      <c r="F240" s="314"/>
      <c r="G240" s="314"/>
      <c r="I240" s="120"/>
      <c r="P240" s="122"/>
      <c r="Q240" s="122"/>
    </row>
    <row r="241" spans="6:17" ht="14.25" customHeight="1" x14ac:dyDescent="0.3">
      <c r="F241" s="314"/>
      <c r="G241" s="314"/>
      <c r="I241" s="120"/>
      <c r="P241" s="122"/>
      <c r="Q241" s="122"/>
    </row>
    <row r="242" spans="6:17" ht="14.25" customHeight="1" x14ac:dyDescent="0.3">
      <c r="F242" s="314"/>
      <c r="G242" s="314"/>
      <c r="I242" s="120"/>
      <c r="P242" s="122"/>
      <c r="Q242" s="122"/>
    </row>
    <row r="243" spans="6:17" ht="14.25" customHeight="1" x14ac:dyDescent="0.3">
      <c r="F243" s="314"/>
      <c r="G243" s="314"/>
      <c r="I243" s="120"/>
      <c r="P243" s="122"/>
      <c r="Q243" s="122"/>
    </row>
    <row r="244" spans="6:17" ht="14.25" customHeight="1" x14ac:dyDescent="0.3">
      <c r="F244" s="314"/>
      <c r="G244" s="314"/>
      <c r="I244" s="120"/>
      <c r="P244" s="122"/>
      <c r="Q244" s="122"/>
    </row>
    <row r="245" spans="6:17" ht="14.25" customHeight="1" x14ac:dyDescent="0.3">
      <c r="F245" s="314"/>
      <c r="G245" s="314"/>
      <c r="I245" s="120"/>
      <c r="P245" s="122"/>
      <c r="Q245" s="122"/>
    </row>
    <row r="246" spans="6:17" ht="14.25" customHeight="1" x14ac:dyDescent="0.3">
      <c r="F246" s="314"/>
      <c r="G246" s="314"/>
      <c r="I246" s="120"/>
      <c r="P246" s="122"/>
      <c r="Q246" s="122"/>
    </row>
    <row r="247" spans="6:17" ht="14.25" customHeight="1" x14ac:dyDescent="0.3">
      <c r="F247" s="314"/>
      <c r="G247" s="314"/>
      <c r="I247" s="120"/>
      <c r="P247" s="122"/>
      <c r="Q247" s="122"/>
    </row>
    <row r="248" spans="6:17" ht="14.25" customHeight="1" x14ac:dyDescent="0.3">
      <c r="F248" s="314"/>
      <c r="G248" s="314"/>
      <c r="I248" s="120"/>
      <c r="P248" s="122"/>
      <c r="Q248" s="122"/>
    </row>
    <row r="249" spans="6:17" ht="14.25" customHeight="1" x14ac:dyDescent="0.3">
      <c r="F249" s="314"/>
      <c r="G249" s="314"/>
      <c r="I249" s="120"/>
      <c r="P249" s="122"/>
      <c r="Q249" s="122"/>
    </row>
    <row r="250" spans="6:17" ht="14.25" customHeight="1" x14ac:dyDescent="0.3">
      <c r="F250" s="314"/>
      <c r="G250" s="314"/>
      <c r="I250" s="120"/>
      <c r="P250" s="122"/>
      <c r="Q250" s="122"/>
    </row>
    <row r="251" spans="6:17" ht="14.25" customHeight="1" x14ac:dyDescent="0.3">
      <c r="F251" s="314"/>
      <c r="G251" s="314"/>
      <c r="I251" s="120"/>
      <c r="P251" s="122"/>
      <c r="Q251" s="122"/>
    </row>
    <row r="252" spans="6:17" ht="14.25" customHeight="1" x14ac:dyDescent="0.3">
      <c r="F252" s="314"/>
      <c r="G252" s="314"/>
      <c r="I252" s="120"/>
      <c r="P252" s="122"/>
      <c r="Q252" s="122"/>
    </row>
    <row r="253" spans="6:17" ht="14.25" customHeight="1" x14ac:dyDescent="0.3">
      <c r="F253" s="314"/>
      <c r="G253" s="314"/>
      <c r="I253" s="120"/>
      <c r="P253" s="122"/>
      <c r="Q253" s="122"/>
    </row>
    <row r="254" spans="6:17" ht="14.25" customHeight="1" x14ac:dyDescent="0.3">
      <c r="F254" s="314"/>
      <c r="G254" s="314"/>
      <c r="I254" s="120"/>
      <c r="P254" s="122"/>
      <c r="Q254" s="122"/>
    </row>
    <row r="255" spans="6:17" ht="14.25" customHeight="1" x14ac:dyDescent="0.3">
      <c r="F255" s="314"/>
      <c r="G255" s="314"/>
      <c r="I255" s="120"/>
      <c r="P255" s="122"/>
      <c r="Q255" s="122"/>
    </row>
    <row r="256" spans="6:17" ht="14.25" customHeight="1" x14ac:dyDescent="0.3">
      <c r="F256" s="314"/>
      <c r="G256" s="314"/>
      <c r="I256" s="120"/>
      <c r="P256" s="122"/>
      <c r="Q256" s="122"/>
    </row>
    <row r="257" spans="6:17" ht="14.25" customHeight="1" x14ac:dyDescent="0.3">
      <c r="F257" s="314"/>
      <c r="G257" s="314"/>
      <c r="I257" s="120"/>
      <c r="P257" s="122"/>
      <c r="Q257" s="122"/>
    </row>
    <row r="258" spans="6:17" ht="14.25" customHeight="1" x14ac:dyDescent="0.3">
      <c r="F258" s="314"/>
      <c r="G258" s="314"/>
      <c r="I258" s="120"/>
      <c r="P258" s="122"/>
      <c r="Q258" s="122"/>
    </row>
    <row r="259" spans="6:17" ht="14.25" customHeight="1" x14ac:dyDescent="0.3">
      <c r="F259" s="314"/>
      <c r="G259" s="314"/>
      <c r="I259" s="120"/>
      <c r="P259" s="122"/>
      <c r="Q259" s="122"/>
    </row>
    <row r="260" spans="6:17" ht="14.25" customHeight="1" x14ac:dyDescent="0.3">
      <c r="F260" s="314"/>
      <c r="G260" s="314"/>
      <c r="I260" s="120"/>
      <c r="P260" s="122"/>
      <c r="Q260" s="122"/>
    </row>
    <row r="261" spans="6:17" ht="14.25" customHeight="1" x14ac:dyDescent="0.3">
      <c r="F261" s="314"/>
      <c r="G261" s="314"/>
      <c r="I261" s="120"/>
      <c r="P261" s="122"/>
      <c r="Q261" s="122"/>
    </row>
    <row r="262" spans="6:17" ht="14.25" customHeight="1" x14ac:dyDescent="0.3">
      <c r="F262" s="314"/>
      <c r="G262" s="314"/>
      <c r="I262" s="120"/>
      <c r="P262" s="122"/>
      <c r="Q262" s="122"/>
    </row>
    <row r="263" spans="6:17" ht="14.25" customHeight="1" x14ac:dyDescent="0.3">
      <c r="F263" s="314"/>
      <c r="G263" s="314"/>
      <c r="I263" s="120"/>
      <c r="P263" s="122"/>
      <c r="Q263" s="122"/>
    </row>
    <row r="264" spans="6:17" ht="14.25" customHeight="1" x14ac:dyDescent="0.3">
      <c r="F264" s="314"/>
      <c r="G264" s="314"/>
      <c r="I264" s="120"/>
      <c r="P264" s="122"/>
      <c r="Q264" s="122"/>
    </row>
    <row r="265" spans="6:17" ht="14.25" customHeight="1" x14ac:dyDescent="0.3">
      <c r="F265" s="314"/>
      <c r="G265" s="314"/>
      <c r="I265" s="120"/>
      <c r="P265" s="122"/>
      <c r="Q265" s="122"/>
    </row>
    <row r="266" spans="6:17" ht="14.25" customHeight="1" x14ac:dyDescent="0.3">
      <c r="F266" s="314"/>
      <c r="G266" s="314"/>
      <c r="I266" s="120"/>
      <c r="P266" s="122"/>
      <c r="Q266" s="122"/>
    </row>
    <row r="267" spans="6:17" ht="14.25" customHeight="1" x14ac:dyDescent="0.3">
      <c r="F267" s="314"/>
      <c r="G267" s="314"/>
      <c r="I267" s="120"/>
      <c r="P267" s="122"/>
      <c r="Q267" s="122"/>
    </row>
    <row r="268" spans="6:17" ht="14.25" customHeight="1" x14ac:dyDescent="0.3">
      <c r="F268" s="314"/>
      <c r="G268" s="314"/>
      <c r="I268" s="120"/>
      <c r="P268" s="122"/>
      <c r="Q268" s="122"/>
    </row>
    <row r="269" spans="6:17" ht="14.25" customHeight="1" x14ac:dyDescent="0.3">
      <c r="F269" s="314"/>
      <c r="G269" s="314"/>
      <c r="I269" s="120"/>
      <c r="P269" s="122"/>
      <c r="Q269" s="122"/>
    </row>
    <row r="270" spans="6:17" ht="14.25" customHeight="1" x14ac:dyDescent="0.3">
      <c r="F270" s="314"/>
      <c r="G270" s="314"/>
      <c r="I270" s="120"/>
      <c r="P270" s="122"/>
      <c r="Q270" s="122"/>
    </row>
    <row r="271" spans="6:17" ht="14.25" customHeight="1" x14ac:dyDescent="0.3">
      <c r="F271" s="314"/>
      <c r="G271" s="314"/>
      <c r="I271" s="120"/>
      <c r="P271" s="122"/>
      <c r="Q271" s="122"/>
    </row>
    <row r="272" spans="6:17" ht="14.25" customHeight="1" x14ac:dyDescent="0.3">
      <c r="F272" s="314"/>
      <c r="G272" s="314"/>
      <c r="I272" s="120"/>
      <c r="P272" s="122"/>
      <c r="Q272" s="122"/>
    </row>
    <row r="273" spans="6:17" ht="14.25" customHeight="1" x14ac:dyDescent="0.3">
      <c r="F273" s="314"/>
      <c r="G273" s="314"/>
      <c r="I273" s="120"/>
      <c r="P273" s="122"/>
      <c r="Q273" s="122"/>
    </row>
    <row r="274" spans="6:17" ht="14.25" customHeight="1" x14ac:dyDescent="0.3">
      <c r="F274" s="314"/>
      <c r="G274" s="314"/>
      <c r="I274" s="120"/>
      <c r="P274" s="122"/>
      <c r="Q274" s="122"/>
    </row>
    <row r="275" spans="6:17" ht="14.25" customHeight="1" x14ac:dyDescent="0.3">
      <c r="F275" s="314"/>
      <c r="G275" s="314"/>
      <c r="I275" s="120"/>
      <c r="P275" s="122"/>
      <c r="Q275" s="122"/>
    </row>
    <row r="276" spans="6:17" ht="14.25" customHeight="1" x14ac:dyDescent="0.3">
      <c r="F276" s="314"/>
      <c r="G276" s="314"/>
      <c r="I276" s="120"/>
      <c r="P276" s="122"/>
      <c r="Q276" s="122"/>
    </row>
    <row r="277" spans="6:17" ht="14.25" customHeight="1" x14ac:dyDescent="0.3">
      <c r="F277" s="314"/>
      <c r="G277" s="314"/>
      <c r="I277" s="120"/>
      <c r="P277" s="122"/>
      <c r="Q277" s="122"/>
    </row>
    <row r="278" spans="6:17" ht="14.25" customHeight="1" x14ac:dyDescent="0.3">
      <c r="F278" s="314"/>
      <c r="G278" s="314"/>
      <c r="I278" s="120"/>
      <c r="P278" s="122"/>
      <c r="Q278" s="122"/>
    </row>
    <row r="279" spans="6:17" ht="14.25" customHeight="1" x14ac:dyDescent="0.3">
      <c r="F279" s="314"/>
      <c r="G279" s="314"/>
      <c r="I279" s="120"/>
      <c r="P279" s="122"/>
      <c r="Q279" s="122"/>
    </row>
    <row r="280" spans="6:17" ht="14.25" customHeight="1" x14ac:dyDescent="0.3">
      <c r="F280" s="314"/>
      <c r="G280" s="314"/>
      <c r="I280" s="120"/>
      <c r="P280" s="122"/>
      <c r="Q280" s="122"/>
    </row>
    <row r="281" spans="6:17" ht="14.25" customHeight="1" x14ac:dyDescent="0.3">
      <c r="F281" s="314"/>
      <c r="G281" s="314"/>
      <c r="I281" s="120"/>
      <c r="P281" s="122"/>
      <c r="Q281" s="122"/>
    </row>
    <row r="282" spans="6:17" ht="14.25" customHeight="1" x14ac:dyDescent="0.3">
      <c r="F282" s="314"/>
      <c r="G282" s="314"/>
      <c r="I282" s="120"/>
      <c r="P282" s="122"/>
      <c r="Q282" s="122"/>
    </row>
    <row r="283" spans="6:17" ht="14.25" customHeight="1" x14ac:dyDescent="0.3">
      <c r="F283" s="314"/>
      <c r="G283" s="314"/>
      <c r="I283" s="120"/>
      <c r="P283" s="122"/>
      <c r="Q283" s="122"/>
    </row>
    <row r="284" spans="6:17" ht="14.25" customHeight="1" x14ac:dyDescent="0.3">
      <c r="F284" s="314"/>
      <c r="G284" s="314"/>
      <c r="I284" s="120"/>
      <c r="P284" s="122"/>
      <c r="Q284" s="122"/>
    </row>
    <row r="285" spans="6:17" ht="14.25" customHeight="1" x14ac:dyDescent="0.3">
      <c r="F285" s="314"/>
      <c r="G285" s="314"/>
      <c r="I285" s="120"/>
      <c r="P285" s="122"/>
      <c r="Q285" s="122"/>
    </row>
    <row r="286" spans="6:17" ht="14.25" customHeight="1" x14ac:dyDescent="0.3">
      <c r="F286" s="314"/>
      <c r="G286" s="314"/>
      <c r="I286" s="120"/>
      <c r="P286" s="122"/>
      <c r="Q286" s="122"/>
    </row>
    <row r="287" spans="6:17" ht="14.25" customHeight="1" x14ac:dyDescent="0.3">
      <c r="F287" s="314"/>
      <c r="G287" s="314"/>
      <c r="I287" s="120"/>
      <c r="P287" s="122"/>
      <c r="Q287" s="122"/>
    </row>
    <row r="288" spans="6:17" ht="14.25" customHeight="1" x14ac:dyDescent="0.3">
      <c r="F288" s="314"/>
      <c r="G288" s="314"/>
      <c r="I288" s="120"/>
      <c r="P288" s="122"/>
      <c r="Q288" s="122"/>
    </row>
    <row r="289" spans="6:17" ht="14.25" customHeight="1" x14ac:dyDescent="0.3">
      <c r="F289" s="314"/>
      <c r="G289" s="314"/>
      <c r="I289" s="120"/>
      <c r="P289" s="122"/>
      <c r="Q289" s="122"/>
    </row>
    <row r="290" spans="6:17" ht="14.25" customHeight="1" x14ac:dyDescent="0.3">
      <c r="F290" s="314"/>
      <c r="G290" s="314"/>
      <c r="I290" s="120"/>
      <c r="P290" s="122"/>
      <c r="Q290" s="122"/>
    </row>
    <row r="291" spans="6:17" ht="14.25" customHeight="1" x14ac:dyDescent="0.3">
      <c r="F291" s="314"/>
      <c r="G291" s="314"/>
      <c r="I291" s="120"/>
      <c r="P291" s="122"/>
      <c r="Q291" s="122"/>
    </row>
    <row r="292" spans="6:17" ht="14.25" customHeight="1" x14ac:dyDescent="0.3">
      <c r="F292" s="314"/>
      <c r="G292" s="314"/>
      <c r="I292" s="120"/>
      <c r="P292" s="122"/>
      <c r="Q292" s="122"/>
    </row>
    <row r="293" spans="6:17" ht="14.25" customHeight="1" x14ac:dyDescent="0.3">
      <c r="F293" s="314"/>
      <c r="G293" s="314"/>
      <c r="I293" s="120"/>
      <c r="P293" s="122"/>
      <c r="Q293" s="122"/>
    </row>
    <row r="294" spans="6:17" ht="14.25" customHeight="1" x14ac:dyDescent="0.3">
      <c r="F294" s="314"/>
      <c r="G294" s="314"/>
      <c r="I294" s="120"/>
      <c r="P294" s="122"/>
      <c r="Q294" s="122"/>
    </row>
    <row r="295" spans="6:17" ht="14.25" customHeight="1" x14ac:dyDescent="0.3">
      <c r="F295" s="314"/>
      <c r="G295" s="314"/>
      <c r="I295" s="120"/>
      <c r="P295" s="122"/>
      <c r="Q295" s="122"/>
    </row>
    <row r="296" spans="6:17" ht="14.25" customHeight="1" x14ac:dyDescent="0.3">
      <c r="F296" s="314"/>
      <c r="G296" s="314"/>
      <c r="I296" s="120"/>
      <c r="P296" s="122"/>
      <c r="Q296" s="122"/>
    </row>
    <row r="297" spans="6:17" ht="14.25" customHeight="1" x14ac:dyDescent="0.3">
      <c r="F297" s="314"/>
      <c r="G297" s="314"/>
      <c r="I297" s="120"/>
      <c r="P297" s="122"/>
      <c r="Q297" s="122"/>
    </row>
    <row r="298" spans="6:17" ht="14.25" customHeight="1" x14ac:dyDescent="0.3">
      <c r="F298" s="314"/>
      <c r="G298" s="314"/>
      <c r="I298" s="120"/>
      <c r="P298" s="122"/>
      <c r="Q298" s="122"/>
    </row>
    <row r="299" spans="6:17" ht="14.25" customHeight="1" x14ac:dyDescent="0.3">
      <c r="F299" s="314"/>
      <c r="G299" s="314"/>
      <c r="I299" s="120"/>
      <c r="P299" s="122"/>
      <c r="Q299" s="122"/>
    </row>
    <row r="300" spans="6:17" ht="14.25" customHeight="1" x14ac:dyDescent="0.3">
      <c r="F300" s="314"/>
      <c r="G300" s="314"/>
      <c r="I300" s="120"/>
      <c r="P300" s="122"/>
      <c r="Q300" s="122"/>
    </row>
    <row r="301" spans="6:17" ht="14.25" customHeight="1" x14ac:dyDescent="0.3">
      <c r="F301" s="314"/>
      <c r="G301" s="314"/>
      <c r="I301" s="120"/>
      <c r="P301" s="122"/>
      <c r="Q301" s="122"/>
    </row>
    <row r="302" spans="6:17" ht="14.25" customHeight="1" x14ac:dyDescent="0.3">
      <c r="F302" s="314"/>
      <c r="G302" s="314"/>
      <c r="I302" s="120"/>
      <c r="P302" s="122"/>
      <c r="Q302" s="122"/>
    </row>
    <row r="303" spans="6:17" ht="14.25" customHeight="1" x14ac:dyDescent="0.3">
      <c r="F303" s="314"/>
      <c r="G303" s="314"/>
      <c r="I303" s="120"/>
      <c r="P303" s="122"/>
      <c r="Q303" s="122"/>
    </row>
    <row r="304" spans="6:17" ht="14.25" customHeight="1" x14ac:dyDescent="0.3">
      <c r="F304" s="314"/>
      <c r="G304" s="314"/>
      <c r="I304" s="120"/>
      <c r="P304" s="122"/>
      <c r="Q304" s="122"/>
    </row>
    <row r="305" spans="6:17" ht="14.25" customHeight="1" x14ac:dyDescent="0.3">
      <c r="F305" s="314"/>
      <c r="G305" s="314"/>
      <c r="I305" s="120"/>
      <c r="P305" s="122"/>
      <c r="Q305" s="122"/>
    </row>
    <row r="306" spans="6:17" ht="14.25" customHeight="1" x14ac:dyDescent="0.3">
      <c r="F306" s="314"/>
      <c r="G306" s="314"/>
      <c r="I306" s="120"/>
      <c r="P306" s="122"/>
      <c r="Q306" s="122"/>
    </row>
    <row r="307" spans="6:17" ht="14.25" customHeight="1" x14ac:dyDescent="0.3">
      <c r="F307" s="314"/>
      <c r="G307" s="314"/>
      <c r="I307" s="120"/>
      <c r="P307" s="122"/>
      <c r="Q307" s="122"/>
    </row>
    <row r="308" spans="6:17" ht="14.25" customHeight="1" x14ac:dyDescent="0.3">
      <c r="F308" s="314"/>
      <c r="G308" s="314"/>
      <c r="I308" s="120"/>
      <c r="P308" s="122"/>
      <c r="Q308" s="122"/>
    </row>
    <row r="309" spans="6:17" ht="14.25" customHeight="1" x14ac:dyDescent="0.3">
      <c r="F309" s="314"/>
      <c r="G309" s="314"/>
      <c r="I309" s="120"/>
      <c r="P309" s="122"/>
      <c r="Q309" s="122"/>
    </row>
    <row r="310" spans="6:17" ht="14.25" customHeight="1" x14ac:dyDescent="0.3">
      <c r="F310" s="314"/>
      <c r="G310" s="314"/>
      <c r="I310" s="120"/>
      <c r="P310" s="122"/>
      <c r="Q310" s="122"/>
    </row>
    <row r="311" spans="6:17" ht="14.25" customHeight="1" x14ac:dyDescent="0.3">
      <c r="F311" s="314"/>
      <c r="G311" s="314"/>
      <c r="I311" s="120"/>
      <c r="P311" s="122"/>
      <c r="Q311" s="122"/>
    </row>
    <row r="312" spans="6:17" ht="14.25" customHeight="1" x14ac:dyDescent="0.3">
      <c r="F312" s="314"/>
      <c r="G312" s="314"/>
      <c r="I312" s="120"/>
      <c r="P312" s="122"/>
      <c r="Q312" s="122"/>
    </row>
    <row r="313" spans="6:17" ht="14.25" customHeight="1" x14ac:dyDescent="0.3">
      <c r="F313" s="314"/>
      <c r="G313" s="314"/>
      <c r="I313" s="120"/>
      <c r="P313" s="122"/>
      <c r="Q313" s="122"/>
    </row>
    <row r="314" spans="6:17" ht="14.25" customHeight="1" x14ac:dyDescent="0.3">
      <c r="F314" s="314"/>
      <c r="G314" s="314"/>
      <c r="I314" s="120"/>
      <c r="P314" s="122"/>
      <c r="Q314" s="122"/>
    </row>
    <row r="315" spans="6:17" ht="14.25" customHeight="1" x14ac:dyDescent="0.3">
      <c r="F315" s="314"/>
      <c r="G315" s="314"/>
      <c r="I315" s="120"/>
      <c r="P315" s="122"/>
      <c r="Q315" s="122"/>
    </row>
    <row r="316" spans="6:17" ht="14.25" customHeight="1" x14ac:dyDescent="0.3">
      <c r="F316" s="314"/>
      <c r="G316" s="314"/>
      <c r="I316" s="120"/>
      <c r="P316" s="122"/>
      <c r="Q316" s="122"/>
    </row>
    <row r="317" spans="6:17" ht="14.25" customHeight="1" x14ac:dyDescent="0.3">
      <c r="F317" s="314"/>
      <c r="G317" s="314"/>
      <c r="I317" s="120"/>
      <c r="P317" s="122"/>
      <c r="Q317" s="122"/>
    </row>
    <row r="318" spans="6:17" ht="14.25" customHeight="1" x14ac:dyDescent="0.3">
      <c r="F318" s="314"/>
      <c r="G318" s="314"/>
      <c r="I318" s="120"/>
      <c r="P318" s="122"/>
      <c r="Q318" s="122"/>
    </row>
    <row r="319" spans="6:17" ht="14.25" customHeight="1" x14ac:dyDescent="0.3">
      <c r="F319" s="314"/>
      <c r="G319" s="314"/>
      <c r="I319" s="120"/>
      <c r="P319" s="122"/>
      <c r="Q319" s="122"/>
    </row>
    <row r="320" spans="6:17" ht="14.25" customHeight="1" x14ac:dyDescent="0.3">
      <c r="F320" s="314"/>
      <c r="G320" s="314"/>
      <c r="I320" s="120"/>
      <c r="P320" s="122"/>
      <c r="Q320" s="122"/>
    </row>
    <row r="321" spans="6:17" ht="14.25" customHeight="1" x14ac:dyDescent="0.3">
      <c r="F321" s="314"/>
      <c r="G321" s="314"/>
      <c r="I321" s="120"/>
      <c r="P321" s="122"/>
      <c r="Q321" s="122"/>
    </row>
    <row r="322" spans="6:17" ht="14.25" customHeight="1" x14ac:dyDescent="0.3">
      <c r="F322" s="314"/>
      <c r="G322" s="314"/>
      <c r="I322" s="120"/>
      <c r="P322" s="122"/>
      <c r="Q322" s="122"/>
    </row>
    <row r="323" spans="6:17" ht="14.25" customHeight="1" x14ac:dyDescent="0.3">
      <c r="F323" s="314"/>
      <c r="G323" s="314"/>
      <c r="I323" s="120"/>
      <c r="P323" s="122"/>
      <c r="Q323" s="122"/>
    </row>
    <row r="324" spans="6:17" ht="14.25" customHeight="1" x14ac:dyDescent="0.3">
      <c r="F324" s="314"/>
      <c r="G324" s="314"/>
      <c r="I324" s="120"/>
      <c r="P324" s="122"/>
      <c r="Q324" s="122"/>
    </row>
    <row r="325" spans="6:17" ht="14.25" customHeight="1" x14ac:dyDescent="0.3">
      <c r="F325" s="314"/>
      <c r="G325" s="314"/>
      <c r="I325" s="120"/>
      <c r="P325" s="122"/>
      <c r="Q325" s="122"/>
    </row>
    <row r="326" spans="6:17" ht="14.25" customHeight="1" x14ac:dyDescent="0.3">
      <c r="F326" s="314"/>
      <c r="G326" s="314"/>
      <c r="I326" s="120"/>
      <c r="P326" s="122"/>
      <c r="Q326" s="122"/>
    </row>
    <row r="327" spans="6:17" ht="14.25" customHeight="1" x14ac:dyDescent="0.3">
      <c r="F327" s="314"/>
      <c r="G327" s="314"/>
      <c r="I327" s="120"/>
      <c r="P327" s="122"/>
      <c r="Q327" s="122"/>
    </row>
    <row r="328" spans="6:17" ht="14.25" customHeight="1" x14ac:dyDescent="0.3">
      <c r="F328" s="314"/>
      <c r="G328" s="314"/>
      <c r="I328" s="120"/>
      <c r="P328" s="122"/>
      <c r="Q328" s="122"/>
    </row>
    <row r="329" spans="6:17" ht="14.25" customHeight="1" x14ac:dyDescent="0.3">
      <c r="F329" s="314"/>
      <c r="G329" s="314"/>
      <c r="I329" s="120"/>
      <c r="P329" s="122"/>
      <c r="Q329" s="122"/>
    </row>
    <row r="330" spans="6:17" ht="14.25" customHeight="1" x14ac:dyDescent="0.3">
      <c r="F330" s="314"/>
      <c r="G330" s="314"/>
      <c r="I330" s="120"/>
      <c r="P330" s="122"/>
      <c r="Q330" s="122"/>
    </row>
    <row r="331" spans="6:17" ht="14.25" customHeight="1" x14ac:dyDescent="0.3">
      <c r="F331" s="314"/>
      <c r="G331" s="314"/>
      <c r="I331" s="120"/>
      <c r="P331" s="122"/>
      <c r="Q331" s="122"/>
    </row>
    <row r="332" spans="6:17" ht="14.25" customHeight="1" x14ac:dyDescent="0.3">
      <c r="F332" s="314"/>
      <c r="G332" s="314"/>
      <c r="I332" s="120"/>
      <c r="P332" s="122"/>
      <c r="Q332" s="122"/>
    </row>
    <row r="333" spans="6:17" ht="14.25" customHeight="1" x14ac:dyDescent="0.3">
      <c r="F333" s="314"/>
      <c r="G333" s="314"/>
      <c r="I333" s="120"/>
      <c r="P333" s="122"/>
      <c r="Q333" s="122"/>
    </row>
    <row r="334" spans="6:17" ht="14.25" customHeight="1" x14ac:dyDescent="0.3">
      <c r="F334" s="314"/>
      <c r="G334" s="314"/>
      <c r="I334" s="120"/>
      <c r="P334" s="122"/>
      <c r="Q334" s="122"/>
    </row>
    <row r="335" spans="6:17" ht="14.25" customHeight="1" x14ac:dyDescent="0.3">
      <c r="F335" s="314"/>
      <c r="G335" s="314"/>
      <c r="I335" s="120"/>
      <c r="P335" s="122"/>
      <c r="Q335" s="122"/>
    </row>
    <row r="336" spans="6:17" ht="14.25" customHeight="1" x14ac:dyDescent="0.3">
      <c r="F336" s="314"/>
      <c r="G336" s="314"/>
      <c r="I336" s="120"/>
      <c r="P336" s="122"/>
      <c r="Q336" s="122"/>
    </row>
    <row r="337" spans="6:17" ht="14.25" customHeight="1" x14ac:dyDescent="0.3">
      <c r="F337" s="314"/>
      <c r="G337" s="314"/>
      <c r="I337" s="120"/>
      <c r="P337" s="122"/>
      <c r="Q337" s="122"/>
    </row>
    <row r="338" spans="6:17" ht="14.25" customHeight="1" x14ac:dyDescent="0.3">
      <c r="F338" s="314"/>
      <c r="G338" s="314"/>
      <c r="I338" s="120"/>
      <c r="P338" s="122"/>
      <c r="Q338" s="122"/>
    </row>
    <row r="339" spans="6:17" ht="14.25" customHeight="1" x14ac:dyDescent="0.3">
      <c r="F339" s="314"/>
      <c r="G339" s="314"/>
      <c r="I339" s="120"/>
      <c r="P339" s="122"/>
      <c r="Q339" s="122"/>
    </row>
    <row r="340" spans="6:17" ht="14.25" customHeight="1" x14ac:dyDescent="0.3">
      <c r="F340" s="314"/>
      <c r="G340" s="314"/>
      <c r="I340" s="120"/>
      <c r="P340" s="122"/>
      <c r="Q340" s="122"/>
    </row>
    <row r="341" spans="6:17" ht="14.25" customHeight="1" x14ac:dyDescent="0.3">
      <c r="F341" s="314"/>
      <c r="G341" s="314"/>
      <c r="I341" s="120"/>
      <c r="P341" s="122"/>
      <c r="Q341" s="122"/>
    </row>
    <row r="342" spans="6:17" ht="14.25" customHeight="1" x14ac:dyDescent="0.3">
      <c r="F342" s="314"/>
      <c r="G342" s="314"/>
      <c r="I342" s="120"/>
      <c r="P342" s="122"/>
      <c r="Q342" s="122"/>
    </row>
    <row r="343" spans="6:17" ht="14.25" customHeight="1" x14ac:dyDescent="0.3">
      <c r="F343" s="314"/>
      <c r="G343" s="314"/>
      <c r="I343" s="120"/>
      <c r="P343" s="122"/>
      <c r="Q343" s="122"/>
    </row>
    <row r="344" spans="6:17" ht="14.25" customHeight="1" x14ac:dyDescent="0.3">
      <c r="F344" s="314"/>
      <c r="G344" s="314"/>
      <c r="I344" s="120"/>
      <c r="P344" s="122"/>
      <c r="Q344" s="122"/>
    </row>
    <row r="345" spans="6:17" ht="14.25" customHeight="1" x14ac:dyDescent="0.3">
      <c r="F345" s="314"/>
      <c r="G345" s="314"/>
      <c r="I345" s="120"/>
      <c r="P345" s="122"/>
      <c r="Q345" s="122"/>
    </row>
    <row r="346" spans="6:17" ht="14.25" customHeight="1" x14ac:dyDescent="0.3">
      <c r="F346" s="314"/>
      <c r="G346" s="314"/>
      <c r="I346" s="120"/>
      <c r="P346" s="122"/>
      <c r="Q346" s="122"/>
    </row>
    <row r="347" spans="6:17" ht="14.25" customHeight="1" x14ac:dyDescent="0.3">
      <c r="F347" s="314"/>
      <c r="G347" s="314"/>
      <c r="I347" s="120"/>
      <c r="P347" s="122"/>
      <c r="Q347" s="122"/>
    </row>
    <row r="348" spans="6:17" ht="14.25" customHeight="1" x14ac:dyDescent="0.3">
      <c r="F348" s="314"/>
      <c r="G348" s="314"/>
      <c r="I348" s="120"/>
      <c r="P348" s="122"/>
      <c r="Q348" s="122"/>
    </row>
    <row r="349" spans="6:17" ht="14.25" customHeight="1" x14ac:dyDescent="0.3">
      <c r="F349" s="314"/>
      <c r="G349" s="314"/>
      <c r="I349" s="120"/>
      <c r="P349" s="122"/>
      <c r="Q349" s="122"/>
    </row>
    <row r="350" spans="6:17" ht="14.25" customHeight="1" x14ac:dyDescent="0.3">
      <c r="F350" s="314"/>
      <c r="G350" s="314"/>
      <c r="I350" s="120"/>
      <c r="P350" s="122"/>
      <c r="Q350" s="122"/>
    </row>
    <row r="351" spans="6:17" ht="14.25" customHeight="1" x14ac:dyDescent="0.3">
      <c r="F351" s="314"/>
      <c r="G351" s="314"/>
      <c r="I351" s="120"/>
      <c r="P351" s="122"/>
      <c r="Q351" s="122"/>
    </row>
    <row r="352" spans="6:17" ht="14.25" customHeight="1" x14ac:dyDescent="0.3">
      <c r="F352" s="314"/>
      <c r="G352" s="314"/>
      <c r="I352" s="120"/>
      <c r="P352" s="122"/>
      <c r="Q352" s="122"/>
    </row>
    <row r="353" spans="6:17" ht="14.25" customHeight="1" x14ac:dyDescent="0.3">
      <c r="F353" s="314"/>
      <c r="G353" s="314"/>
      <c r="I353" s="120"/>
      <c r="P353" s="122"/>
      <c r="Q353" s="122"/>
    </row>
    <row r="354" spans="6:17" ht="14.25" customHeight="1" x14ac:dyDescent="0.3">
      <c r="F354" s="314"/>
      <c r="G354" s="314"/>
      <c r="I354" s="120"/>
      <c r="P354" s="122"/>
      <c r="Q354" s="122"/>
    </row>
    <row r="355" spans="6:17" ht="14.25" customHeight="1" x14ac:dyDescent="0.3">
      <c r="F355" s="314"/>
      <c r="G355" s="314"/>
      <c r="I355" s="120"/>
      <c r="P355" s="122"/>
      <c r="Q355" s="122"/>
    </row>
    <row r="356" spans="6:17" ht="14.25" customHeight="1" x14ac:dyDescent="0.3">
      <c r="F356" s="314"/>
      <c r="G356" s="314"/>
      <c r="I356" s="120"/>
      <c r="P356" s="122"/>
      <c r="Q356" s="122"/>
    </row>
    <row r="357" spans="6:17" ht="14.25" customHeight="1" x14ac:dyDescent="0.3">
      <c r="F357" s="314"/>
      <c r="G357" s="314"/>
      <c r="I357" s="120"/>
      <c r="P357" s="122"/>
      <c r="Q357" s="122"/>
    </row>
    <row r="358" spans="6:17" ht="14.25" customHeight="1" x14ac:dyDescent="0.3">
      <c r="F358" s="314"/>
      <c r="G358" s="314"/>
      <c r="I358" s="120"/>
      <c r="P358" s="122"/>
      <c r="Q358" s="122"/>
    </row>
    <row r="359" spans="6:17" ht="14.25" customHeight="1" x14ac:dyDescent="0.3">
      <c r="F359" s="314"/>
      <c r="G359" s="314"/>
      <c r="I359" s="120"/>
      <c r="P359" s="122"/>
      <c r="Q359" s="122"/>
    </row>
    <row r="360" spans="6:17" ht="14.25" customHeight="1" x14ac:dyDescent="0.3">
      <c r="F360" s="314"/>
      <c r="G360" s="314"/>
      <c r="I360" s="120"/>
      <c r="P360" s="122"/>
      <c r="Q360" s="122"/>
    </row>
    <row r="361" spans="6:17" ht="14.25" customHeight="1" x14ac:dyDescent="0.3">
      <c r="F361" s="314"/>
      <c r="G361" s="314"/>
      <c r="I361" s="120"/>
      <c r="P361" s="122"/>
      <c r="Q361" s="122"/>
    </row>
    <row r="362" spans="6:17" ht="14.25" customHeight="1" x14ac:dyDescent="0.3">
      <c r="F362" s="314"/>
      <c r="G362" s="314"/>
      <c r="I362" s="120"/>
      <c r="P362" s="122"/>
      <c r="Q362" s="122"/>
    </row>
    <row r="363" spans="6:17" ht="14.25" customHeight="1" x14ac:dyDescent="0.3">
      <c r="F363" s="314"/>
      <c r="G363" s="314"/>
      <c r="I363" s="120"/>
      <c r="P363" s="122"/>
      <c r="Q363" s="122"/>
    </row>
    <row r="364" spans="6:17" ht="14.25" customHeight="1" x14ac:dyDescent="0.3">
      <c r="F364" s="314"/>
      <c r="G364" s="314"/>
      <c r="I364" s="120"/>
      <c r="P364" s="122"/>
      <c r="Q364" s="122"/>
    </row>
    <row r="365" spans="6:17" ht="14.25" customHeight="1" x14ac:dyDescent="0.3">
      <c r="F365" s="314"/>
      <c r="G365" s="314"/>
      <c r="I365" s="120"/>
      <c r="P365" s="122"/>
      <c r="Q365" s="122"/>
    </row>
    <row r="366" spans="6:17" ht="14.25" customHeight="1" x14ac:dyDescent="0.3">
      <c r="F366" s="314"/>
      <c r="G366" s="314"/>
      <c r="I366" s="120"/>
      <c r="P366" s="122"/>
      <c r="Q366" s="122"/>
    </row>
    <row r="367" spans="6:17" ht="14.25" customHeight="1" x14ac:dyDescent="0.3">
      <c r="F367" s="314"/>
      <c r="G367" s="314"/>
      <c r="I367" s="120"/>
      <c r="P367" s="122"/>
      <c r="Q367" s="122"/>
    </row>
    <row r="368" spans="6:17" ht="14.25" customHeight="1" x14ac:dyDescent="0.3">
      <c r="F368" s="314"/>
      <c r="G368" s="314"/>
      <c r="I368" s="120"/>
      <c r="P368" s="122"/>
      <c r="Q368" s="122"/>
    </row>
    <row r="369" spans="6:17" ht="14.25" customHeight="1" x14ac:dyDescent="0.3">
      <c r="F369" s="314"/>
      <c r="G369" s="314"/>
      <c r="I369" s="120"/>
      <c r="P369" s="122"/>
      <c r="Q369" s="122"/>
    </row>
    <row r="370" spans="6:17" ht="14.25" customHeight="1" x14ac:dyDescent="0.3">
      <c r="F370" s="314"/>
      <c r="G370" s="314"/>
      <c r="I370" s="120"/>
      <c r="P370" s="122"/>
      <c r="Q370" s="122"/>
    </row>
    <row r="371" spans="6:17" ht="14.25" customHeight="1" x14ac:dyDescent="0.3">
      <c r="F371" s="314"/>
      <c r="G371" s="314"/>
      <c r="I371" s="120"/>
      <c r="P371" s="122"/>
      <c r="Q371" s="122"/>
    </row>
    <row r="372" spans="6:17" ht="14.25" customHeight="1" x14ac:dyDescent="0.3">
      <c r="F372" s="314"/>
      <c r="G372" s="314"/>
      <c r="I372" s="120"/>
      <c r="P372" s="122"/>
      <c r="Q372" s="122"/>
    </row>
    <row r="373" spans="6:17" ht="14.25" customHeight="1" x14ac:dyDescent="0.3">
      <c r="F373" s="314"/>
      <c r="G373" s="314"/>
      <c r="I373" s="120"/>
      <c r="P373" s="122"/>
      <c r="Q373" s="122"/>
    </row>
    <row r="374" spans="6:17" ht="14.25" customHeight="1" x14ac:dyDescent="0.3">
      <c r="F374" s="314"/>
      <c r="G374" s="314"/>
      <c r="I374" s="120"/>
      <c r="P374" s="122"/>
      <c r="Q374" s="122"/>
    </row>
    <row r="375" spans="6:17" ht="14.25" customHeight="1" x14ac:dyDescent="0.3">
      <c r="F375" s="314"/>
      <c r="G375" s="314"/>
      <c r="I375" s="120"/>
      <c r="P375" s="122"/>
      <c r="Q375" s="122"/>
    </row>
    <row r="376" spans="6:17" ht="14.25" customHeight="1" x14ac:dyDescent="0.3">
      <c r="F376" s="314"/>
      <c r="G376" s="314"/>
      <c r="I376" s="120"/>
      <c r="P376" s="122"/>
      <c r="Q376" s="122"/>
    </row>
    <row r="377" spans="6:17" ht="14.25" customHeight="1" x14ac:dyDescent="0.3">
      <c r="F377" s="314"/>
      <c r="G377" s="314"/>
      <c r="I377" s="120"/>
      <c r="P377" s="122"/>
      <c r="Q377" s="122"/>
    </row>
    <row r="378" spans="6:17" ht="14.25" customHeight="1" x14ac:dyDescent="0.3">
      <c r="F378" s="314"/>
      <c r="G378" s="314"/>
      <c r="I378" s="120"/>
      <c r="P378" s="122"/>
      <c r="Q378" s="122"/>
    </row>
    <row r="379" spans="6:17" ht="14.25" customHeight="1" x14ac:dyDescent="0.3">
      <c r="F379" s="314"/>
      <c r="G379" s="314"/>
      <c r="I379" s="120"/>
      <c r="P379" s="122"/>
      <c r="Q379" s="122"/>
    </row>
    <row r="380" spans="6:17" ht="14.25" customHeight="1" x14ac:dyDescent="0.3">
      <c r="F380" s="314"/>
      <c r="G380" s="314"/>
      <c r="I380" s="120"/>
      <c r="P380" s="122"/>
      <c r="Q380" s="122"/>
    </row>
    <row r="381" spans="6:17" ht="14.25" customHeight="1" x14ac:dyDescent="0.3">
      <c r="F381" s="314"/>
      <c r="G381" s="314"/>
      <c r="I381" s="120"/>
      <c r="P381" s="122"/>
      <c r="Q381" s="122"/>
    </row>
    <row r="382" spans="6:17" ht="14.25" customHeight="1" x14ac:dyDescent="0.3">
      <c r="F382" s="314"/>
      <c r="G382" s="314"/>
      <c r="I382" s="120"/>
      <c r="P382" s="122"/>
      <c r="Q382" s="122"/>
    </row>
    <row r="383" spans="6:17" ht="14.25" customHeight="1" x14ac:dyDescent="0.3">
      <c r="F383" s="314"/>
      <c r="G383" s="314"/>
      <c r="I383" s="120"/>
      <c r="P383" s="122"/>
      <c r="Q383" s="122"/>
    </row>
    <row r="384" spans="6:17" ht="14.25" customHeight="1" x14ac:dyDescent="0.3">
      <c r="F384" s="314"/>
      <c r="G384" s="314"/>
      <c r="I384" s="120"/>
      <c r="P384" s="122"/>
      <c r="Q384" s="122"/>
    </row>
    <row r="385" spans="6:17" ht="14.25" customHeight="1" x14ac:dyDescent="0.3">
      <c r="F385" s="314"/>
      <c r="G385" s="314"/>
      <c r="I385" s="120"/>
      <c r="P385" s="122"/>
      <c r="Q385" s="122"/>
    </row>
    <row r="386" spans="6:17" ht="14.25" customHeight="1" x14ac:dyDescent="0.3">
      <c r="F386" s="314"/>
      <c r="G386" s="314"/>
      <c r="I386" s="120"/>
      <c r="P386" s="122"/>
      <c r="Q386" s="122"/>
    </row>
    <row r="387" spans="6:17" ht="14.25" customHeight="1" x14ac:dyDescent="0.3">
      <c r="F387" s="314"/>
      <c r="G387" s="314"/>
      <c r="I387" s="120"/>
      <c r="P387" s="122"/>
      <c r="Q387" s="122"/>
    </row>
    <row r="388" spans="6:17" ht="14.25" customHeight="1" x14ac:dyDescent="0.3">
      <c r="F388" s="314"/>
      <c r="G388" s="314"/>
      <c r="I388" s="120"/>
      <c r="P388" s="122"/>
      <c r="Q388" s="122"/>
    </row>
    <row r="389" spans="6:17" ht="14.25" customHeight="1" x14ac:dyDescent="0.3">
      <c r="F389" s="314"/>
      <c r="G389" s="314"/>
      <c r="I389" s="120"/>
      <c r="P389" s="122"/>
      <c r="Q389" s="122"/>
    </row>
    <row r="390" spans="6:17" ht="14.25" customHeight="1" x14ac:dyDescent="0.3">
      <c r="F390" s="314"/>
      <c r="G390" s="314"/>
      <c r="I390" s="120"/>
      <c r="P390" s="122"/>
      <c r="Q390" s="122"/>
    </row>
    <row r="391" spans="6:17" ht="14.25" customHeight="1" x14ac:dyDescent="0.3">
      <c r="F391" s="314"/>
      <c r="G391" s="314"/>
      <c r="I391" s="120"/>
      <c r="P391" s="122"/>
      <c r="Q391" s="122"/>
    </row>
    <row r="392" spans="6:17" ht="14.25" customHeight="1" x14ac:dyDescent="0.3">
      <c r="F392" s="314"/>
      <c r="G392" s="314"/>
      <c r="I392" s="120"/>
      <c r="P392" s="122"/>
      <c r="Q392" s="122"/>
    </row>
    <row r="393" spans="6:17" ht="14.25" customHeight="1" x14ac:dyDescent="0.3">
      <c r="F393" s="314"/>
      <c r="G393" s="314"/>
      <c r="I393" s="120"/>
      <c r="P393" s="122"/>
      <c r="Q393" s="122"/>
    </row>
    <row r="394" spans="6:17" ht="14.25" customHeight="1" x14ac:dyDescent="0.3">
      <c r="F394" s="314"/>
      <c r="G394" s="314"/>
      <c r="I394" s="120"/>
      <c r="P394" s="122"/>
      <c r="Q394" s="122"/>
    </row>
    <row r="395" spans="6:17" ht="14.25" customHeight="1" x14ac:dyDescent="0.3">
      <c r="F395" s="314"/>
      <c r="G395" s="314"/>
      <c r="I395" s="120"/>
      <c r="P395" s="122"/>
      <c r="Q395" s="122"/>
    </row>
    <row r="396" spans="6:17" ht="14.25" customHeight="1" x14ac:dyDescent="0.3">
      <c r="F396" s="314"/>
      <c r="G396" s="314"/>
      <c r="I396" s="120"/>
      <c r="P396" s="122"/>
      <c r="Q396" s="122"/>
    </row>
    <row r="397" spans="6:17" ht="14.25" customHeight="1" x14ac:dyDescent="0.3">
      <c r="F397" s="314"/>
      <c r="G397" s="314"/>
      <c r="I397" s="120"/>
      <c r="P397" s="122"/>
      <c r="Q397" s="122"/>
    </row>
    <row r="398" spans="6:17" ht="14.25" customHeight="1" x14ac:dyDescent="0.3">
      <c r="F398" s="314"/>
      <c r="G398" s="314"/>
      <c r="I398" s="120"/>
      <c r="P398" s="122"/>
      <c r="Q398" s="122"/>
    </row>
    <row r="399" spans="6:17" ht="14.25" customHeight="1" x14ac:dyDescent="0.3">
      <c r="F399" s="314"/>
      <c r="G399" s="314"/>
      <c r="I399" s="120"/>
      <c r="P399" s="122"/>
      <c r="Q399" s="122"/>
    </row>
    <row r="400" spans="6:17" ht="14.25" customHeight="1" x14ac:dyDescent="0.3">
      <c r="F400" s="314"/>
      <c r="G400" s="314"/>
      <c r="I400" s="120"/>
      <c r="P400" s="122"/>
      <c r="Q400" s="122"/>
    </row>
    <row r="401" spans="6:17" ht="14.25" customHeight="1" x14ac:dyDescent="0.3">
      <c r="F401" s="314"/>
      <c r="G401" s="314"/>
      <c r="I401" s="120"/>
      <c r="P401" s="122"/>
      <c r="Q401" s="122"/>
    </row>
    <row r="402" spans="6:17" ht="14.25" customHeight="1" x14ac:dyDescent="0.3">
      <c r="F402" s="314"/>
      <c r="G402" s="314"/>
      <c r="I402" s="120"/>
      <c r="P402" s="122"/>
      <c r="Q402" s="122"/>
    </row>
    <row r="403" spans="6:17" ht="14.25" customHeight="1" x14ac:dyDescent="0.3">
      <c r="F403" s="314"/>
      <c r="G403" s="314"/>
      <c r="I403" s="120"/>
      <c r="P403" s="122"/>
      <c r="Q403" s="122"/>
    </row>
    <row r="404" spans="6:17" ht="14.25" customHeight="1" x14ac:dyDescent="0.3">
      <c r="F404" s="314"/>
      <c r="G404" s="314"/>
      <c r="I404" s="120"/>
      <c r="P404" s="122"/>
      <c r="Q404" s="122"/>
    </row>
    <row r="405" spans="6:17" ht="14.25" customHeight="1" x14ac:dyDescent="0.3">
      <c r="F405" s="314"/>
      <c r="G405" s="314"/>
      <c r="I405" s="120"/>
      <c r="P405" s="122"/>
      <c r="Q405" s="122"/>
    </row>
    <row r="406" spans="6:17" ht="14.25" customHeight="1" x14ac:dyDescent="0.3">
      <c r="F406" s="314"/>
      <c r="G406" s="314"/>
      <c r="I406" s="120"/>
      <c r="P406" s="122"/>
      <c r="Q406" s="122"/>
    </row>
    <row r="407" spans="6:17" ht="14.25" customHeight="1" x14ac:dyDescent="0.3">
      <c r="F407" s="314"/>
      <c r="G407" s="314"/>
      <c r="I407" s="120"/>
      <c r="P407" s="122"/>
      <c r="Q407" s="122"/>
    </row>
    <row r="408" spans="6:17" ht="14.25" customHeight="1" x14ac:dyDescent="0.3">
      <c r="F408" s="314"/>
      <c r="G408" s="314"/>
      <c r="I408" s="120"/>
      <c r="P408" s="122"/>
      <c r="Q408" s="122"/>
    </row>
    <row r="409" spans="6:17" ht="14.25" customHeight="1" x14ac:dyDescent="0.3">
      <c r="F409" s="314"/>
      <c r="G409" s="314"/>
      <c r="I409" s="120"/>
      <c r="P409" s="122"/>
      <c r="Q409" s="122"/>
    </row>
    <row r="410" spans="6:17" ht="14.25" customHeight="1" x14ac:dyDescent="0.3">
      <c r="F410" s="314"/>
      <c r="G410" s="314"/>
      <c r="I410" s="120"/>
      <c r="P410" s="122"/>
      <c r="Q410" s="122"/>
    </row>
    <row r="411" spans="6:17" ht="14.25" customHeight="1" x14ac:dyDescent="0.3">
      <c r="F411" s="314"/>
      <c r="G411" s="314"/>
      <c r="I411" s="120"/>
      <c r="P411" s="122"/>
      <c r="Q411" s="122"/>
    </row>
    <row r="412" spans="6:17" ht="14.25" customHeight="1" x14ac:dyDescent="0.3">
      <c r="F412" s="314"/>
      <c r="G412" s="314"/>
      <c r="I412" s="120"/>
      <c r="P412" s="122"/>
      <c r="Q412" s="122"/>
    </row>
    <row r="413" spans="6:17" ht="14.25" customHeight="1" x14ac:dyDescent="0.3">
      <c r="F413" s="314"/>
      <c r="G413" s="314"/>
      <c r="I413" s="120"/>
      <c r="P413" s="122"/>
      <c r="Q413" s="122"/>
    </row>
    <row r="414" spans="6:17" ht="14.25" customHeight="1" x14ac:dyDescent="0.3">
      <c r="F414" s="314"/>
      <c r="G414" s="314"/>
      <c r="I414" s="120"/>
      <c r="P414" s="122"/>
      <c r="Q414" s="122"/>
    </row>
    <row r="415" spans="6:17" ht="14.25" customHeight="1" x14ac:dyDescent="0.3">
      <c r="F415" s="314"/>
      <c r="G415" s="314"/>
      <c r="I415" s="120"/>
      <c r="P415" s="122"/>
      <c r="Q415" s="122"/>
    </row>
    <row r="416" spans="6:17" ht="14.25" customHeight="1" x14ac:dyDescent="0.3">
      <c r="F416" s="314"/>
      <c r="G416" s="314"/>
      <c r="I416" s="120"/>
      <c r="P416" s="122"/>
      <c r="Q416" s="122"/>
    </row>
    <row r="417" spans="6:17" ht="14.25" customHeight="1" x14ac:dyDescent="0.3">
      <c r="F417" s="314"/>
      <c r="G417" s="314"/>
      <c r="I417" s="120"/>
      <c r="P417" s="122"/>
      <c r="Q417" s="122"/>
    </row>
    <row r="418" spans="6:17" ht="14.25" customHeight="1" x14ac:dyDescent="0.3">
      <c r="F418" s="314"/>
      <c r="G418" s="314"/>
      <c r="I418" s="120"/>
      <c r="P418" s="122"/>
      <c r="Q418" s="122"/>
    </row>
    <row r="419" spans="6:17" ht="14.25" customHeight="1" x14ac:dyDescent="0.3">
      <c r="F419" s="314"/>
      <c r="G419" s="314"/>
      <c r="I419" s="120"/>
      <c r="P419" s="122"/>
      <c r="Q419" s="122"/>
    </row>
    <row r="420" spans="6:17" ht="14.25" customHeight="1" x14ac:dyDescent="0.3">
      <c r="F420" s="314"/>
      <c r="G420" s="314"/>
      <c r="I420" s="120"/>
      <c r="P420" s="122"/>
      <c r="Q420" s="122"/>
    </row>
    <row r="421" spans="6:17" ht="14.25" customHeight="1" x14ac:dyDescent="0.3">
      <c r="F421" s="314"/>
      <c r="G421" s="314"/>
      <c r="I421" s="120"/>
      <c r="P421" s="122"/>
      <c r="Q421" s="122"/>
    </row>
    <row r="422" spans="6:17" ht="14.25" customHeight="1" x14ac:dyDescent="0.3">
      <c r="F422" s="314"/>
      <c r="G422" s="314"/>
      <c r="I422" s="120"/>
      <c r="P422" s="122"/>
      <c r="Q422" s="122"/>
    </row>
    <row r="423" spans="6:17" ht="14.25" customHeight="1" x14ac:dyDescent="0.3">
      <c r="F423" s="314"/>
      <c r="G423" s="314"/>
      <c r="I423" s="120"/>
      <c r="P423" s="122"/>
      <c r="Q423" s="122"/>
    </row>
    <row r="424" spans="6:17" ht="14.25" customHeight="1" x14ac:dyDescent="0.3">
      <c r="F424" s="314"/>
      <c r="G424" s="314"/>
      <c r="I424" s="120"/>
      <c r="P424" s="122"/>
      <c r="Q424" s="122"/>
    </row>
    <row r="425" spans="6:17" ht="14.25" customHeight="1" x14ac:dyDescent="0.3">
      <c r="F425" s="314"/>
      <c r="G425" s="314"/>
      <c r="I425" s="120"/>
      <c r="P425" s="122"/>
      <c r="Q425" s="122"/>
    </row>
    <row r="426" spans="6:17" ht="14.25" customHeight="1" x14ac:dyDescent="0.3">
      <c r="F426" s="314"/>
      <c r="G426" s="314"/>
      <c r="I426" s="120"/>
      <c r="P426" s="122"/>
      <c r="Q426" s="122"/>
    </row>
    <row r="427" spans="6:17" ht="14.25" customHeight="1" x14ac:dyDescent="0.3">
      <c r="F427" s="314"/>
      <c r="G427" s="314"/>
      <c r="I427" s="120"/>
      <c r="P427" s="122"/>
      <c r="Q427" s="122"/>
    </row>
    <row r="428" spans="6:17" ht="14.25" customHeight="1" x14ac:dyDescent="0.3">
      <c r="F428" s="314"/>
      <c r="G428" s="314"/>
      <c r="I428" s="120"/>
      <c r="P428" s="122"/>
      <c r="Q428" s="122"/>
    </row>
    <row r="429" spans="6:17" ht="14.25" customHeight="1" x14ac:dyDescent="0.3">
      <c r="F429" s="314"/>
      <c r="G429" s="314"/>
      <c r="I429" s="120"/>
      <c r="P429" s="122"/>
      <c r="Q429" s="122"/>
    </row>
    <row r="430" spans="6:17" ht="14.25" customHeight="1" x14ac:dyDescent="0.3">
      <c r="F430" s="314"/>
      <c r="G430" s="314"/>
      <c r="I430" s="120"/>
      <c r="P430" s="122"/>
      <c r="Q430" s="122"/>
    </row>
    <row r="431" spans="6:17" ht="14.25" customHeight="1" x14ac:dyDescent="0.3">
      <c r="F431" s="314"/>
      <c r="G431" s="314"/>
      <c r="I431" s="120"/>
      <c r="P431" s="122"/>
      <c r="Q431" s="122"/>
    </row>
    <row r="432" spans="6:17" ht="14.25" customHeight="1" x14ac:dyDescent="0.3">
      <c r="F432" s="314"/>
      <c r="G432" s="314"/>
      <c r="I432" s="120"/>
      <c r="P432" s="122"/>
      <c r="Q432" s="122"/>
    </row>
    <row r="433" spans="6:17" ht="14.25" customHeight="1" x14ac:dyDescent="0.3">
      <c r="F433" s="314"/>
      <c r="G433" s="314"/>
      <c r="I433" s="120"/>
      <c r="P433" s="122"/>
      <c r="Q433" s="122"/>
    </row>
    <row r="434" spans="6:17" ht="14.25" customHeight="1" x14ac:dyDescent="0.3">
      <c r="F434" s="314"/>
      <c r="G434" s="314"/>
      <c r="I434" s="120"/>
      <c r="P434" s="122"/>
      <c r="Q434" s="122"/>
    </row>
    <row r="435" spans="6:17" ht="14.25" customHeight="1" x14ac:dyDescent="0.3">
      <c r="F435" s="314"/>
      <c r="G435" s="314"/>
      <c r="I435" s="120"/>
      <c r="P435" s="122"/>
      <c r="Q435" s="122"/>
    </row>
    <row r="436" spans="6:17" ht="14.25" customHeight="1" x14ac:dyDescent="0.3">
      <c r="F436" s="314"/>
      <c r="G436" s="314"/>
      <c r="I436" s="120"/>
      <c r="P436" s="122"/>
      <c r="Q436" s="122"/>
    </row>
    <row r="437" spans="6:17" ht="14.25" customHeight="1" x14ac:dyDescent="0.3">
      <c r="F437" s="314"/>
      <c r="G437" s="314"/>
      <c r="I437" s="120"/>
      <c r="P437" s="122"/>
      <c r="Q437" s="122"/>
    </row>
    <row r="438" spans="6:17" ht="14.25" customHeight="1" x14ac:dyDescent="0.3">
      <c r="F438" s="314"/>
      <c r="G438" s="314"/>
      <c r="I438" s="120"/>
      <c r="P438" s="122"/>
      <c r="Q438" s="122"/>
    </row>
    <row r="439" spans="6:17" ht="14.25" customHeight="1" x14ac:dyDescent="0.3">
      <c r="F439" s="314"/>
      <c r="G439" s="314"/>
      <c r="I439" s="120"/>
      <c r="P439" s="122"/>
      <c r="Q439" s="122"/>
    </row>
    <row r="440" spans="6:17" ht="14.25" customHeight="1" x14ac:dyDescent="0.3">
      <c r="F440" s="314"/>
      <c r="G440" s="314"/>
      <c r="I440" s="120"/>
      <c r="P440" s="122"/>
      <c r="Q440" s="122"/>
    </row>
    <row r="441" spans="6:17" ht="14.25" customHeight="1" x14ac:dyDescent="0.3">
      <c r="F441" s="314"/>
      <c r="G441" s="314"/>
      <c r="I441" s="120"/>
      <c r="P441" s="122"/>
      <c r="Q441" s="122"/>
    </row>
    <row r="442" spans="6:17" ht="14.25" customHeight="1" x14ac:dyDescent="0.3">
      <c r="F442" s="314"/>
      <c r="G442" s="314"/>
      <c r="I442" s="120"/>
      <c r="P442" s="122"/>
      <c r="Q442" s="122"/>
    </row>
    <row r="443" spans="6:17" ht="14.25" customHeight="1" x14ac:dyDescent="0.3">
      <c r="F443" s="314"/>
      <c r="G443" s="314"/>
      <c r="I443" s="120"/>
      <c r="P443" s="122"/>
      <c r="Q443" s="122"/>
    </row>
    <row r="444" spans="6:17" ht="14.25" customHeight="1" x14ac:dyDescent="0.3">
      <c r="F444" s="314"/>
      <c r="G444" s="314"/>
      <c r="I444" s="120"/>
      <c r="P444" s="122"/>
      <c r="Q444" s="122"/>
    </row>
    <row r="445" spans="6:17" ht="14.25" customHeight="1" x14ac:dyDescent="0.3">
      <c r="F445" s="314"/>
      <c r="G445" s="314"/>
      <c r="I445" s="120"/>
      <c r="P445" s="122"/>
      <c r="Q445" s="122"/>
    </row>
    <row r="446" spans="6:17" ht="14.25" customHeight="1" x14ac:dyDescent="0.3">
      <c r="F446" s="314"/>
      <c r="G446" s="314"/>
      <c r="I446" s="120"/>
      <c r="P446" s="122"/>
      <c r="Q446" s="122"/>
    </row>
    <row r="447" spans="6:17" ht="14.25" customHeight="1" x14ac:dyDescent="0.3">
      <c r="F447" s="314"/>
      <c r="G447" s="314"/>
      <c r="I447" s="120"/>
      <c r="P447" s="122"/>
      <c r="Q447" s="122"/>
    </row>
    <row r="448" spans="6:17" ht="14.25" customHeight="1" x14ac:dyDescent="0.3">
      <c r="F448" s="314"/>
      <c r="G448" s="314"/>
      <c r="I448" s="120"/>
      <c r="P448" s="122"/>
      <c r="Q448" s="122"/>
    </row>
    <row r="449" spans="6:17" ht="14.25" customHeight="1" x14ac:dyDescent="0.3">
      <c r="F449" s="314"/>
      <c r="G449" s="314"/>
      <c r="I449" s="120"/>
      <c r="P449" s="122"/>
      <c r="Q449" s="122"/>
    </row>
    <row r="450" spans="6:17" ht="14.25" customHeight="1" x14ac:dyDescent="0.3">
      <c r="F450" s="314"/>
      <c r="G450" s="314"/>
      <c r="I450" s="120"/>
      <c r="P450" s="122"/>
      <c r="Q450" s="122"/>
    </row>
    <row r="451" spans="6:17" ht="14.25" customHeight="1" x14ac:dyDescent="0.3">
      <c r="F451" s="314"/>
      <c r="G451" s="314"/>
      <c r="I451" s="120"/>
      <c r="P451" s="122"/>
      <c r="Q451" s="122"/>
    </row>
    <row r="452" spans="6:17" ht="14.25" customHeight="1" x14ac:dyDescent="0.3">
      <c r="F452" s="314"/>
      <c r="G452" s="314"/>
      <c r="I452" s="120"/>
      <c r="P452" s="122"/>
      <c r="Q452" s="122"/>
    </row>
    <row r="453" spans="6:17" ht="14.25" customHeight="1" x14ac:dyDescent="0.3">
      <c r="F453" s="314"/>
      <c r="G453" s="314"/>
      <c r="I453" s="120"/>
      <c r="P453" s="122"/>
      <c r="Q453" s="122"/>
    </row>
    <row r="454" spans="6:17" ht="14.25" customHeight="1" x14ac:dyDescent="0.3">
      <c r="F454" s="314"/>
      <c r="G454" s="314"/>
      <c r="I454" s="120"/>
      <c r="P454" s="122"/>
      <c r="Q454" s="122"/>
    </row>
    <row r="455" spans="6:17" ht="14.25" customHeight="1" x14ac:dyDescent="0.3">
      <c r="F455" s="314"/>
      <c r="G455" s="314"/>
      <c r="I455" s="120"/>
      <c r="P455" s="122"/>
      <c r="Q455" s="122"/>
    </row>
    <row r="456" spans="6:17" ht="14.25" customHeight="1" x14ac:dyDescent="0.3">
      <c r="F456" s="314"/>
      <c r="G456" s="314"/>
      <c r="I456" s="120"/>
      <c r="P456" s="122"/>
      <c r="Q456" s="122"/>
    </row>
    <row r="457" spans="6:17" ht="14.25" customHeight="1" x14ac:dyDescent="0.3">
      <c r="F457" s="314"/>
      <c r="G457" s="314"/>
      <c r="I457" s="120"/>
      <c r="P457" s="122"/>
      <c r="Q457" s="122"/>
    </row>
    <row r="458" spans="6:17" ht="14.25" customHeight="1" x14ac:dyDescent="0.3">
      <c r="F458" s="314"/>
      <c r="G458" s="314"/>
      <c r="I458" s="120"/>
      <c r="P458" s="122"/>
      <c r="Q458" s="122"/>
    </row>
    <row r="459" spans="6:17" ht="14.25" customHeight="1" x14ac:dyDescent="0.3">
      <c r="F459" s="314"/>
      <c r="G459" s="314"/>
      <c r="I459" s="120"/>
      <c r="P459" s="122"/>
      <c r="Q459" s="122"/>
    </row>
    <row r="460" spans="6:17" ht="14.25" customHeight="1" x14ac:dyDescent="0.3">
      <c r="F460" s="314"/>
      <c r="G460" s="314"/>
      <c r="I460" s="120"/>
      <c r="P460" s="122"/>
      <c r="Q460" s="122"/>
    </row>
    <row r="461" spans="6:17" ht="14.25" customHeight="1" x14ac:dyDescent="0.3">
      <c r="F461" s="314"/>
      <c r="G461" s="314"/>
      <c r="I461" s="120"/>
      <c r="P461" s="122"/>
      <c r="Q461" s="122"/>
    </row>
    <row r="462" spans="6:17" ht="14.25" customHeight="1" x14ac:dyDescent="0.3">
      <c r="F462" s="314"/>
      <c r="G462" s="314"/>
      <c r="I462" s="120"/>
      <c r="P462" s="122"/>
      <c r="Q462" s="122"/>
    </row>
    <row r="463" spans="6:17" ht="14.25" customHeight="1" x14ac:dyDescent="0.3">
      <c r="F463" s="314"/>
      <c r="G463" s="314"/>
      <c r="I463" s="120"/>
      <c r="P463" s="122"/>
      <c r="Q463" s="122"/>
    </row>
    <row r="464" spans="6:17" ht="14.25" customHeight="1" x14ac:dyDescent="0.3">
      <c r="F464" s="314"/>
      <c r="G464" s="314"/>
      <c r="I464" s="120"/>
      <c r="P464" s="122"/>
      <c r="Q464" s="122"/>
    </row>
    <row r="465" spans="6:17" ht="14.25" customHeight="1" x14ac:dyDescent="0.3">
      <c r="F465" s="314"/>
      <c r="G465" s="314"/>
      <c r="I465" s="120"/>
      <c r="P465" s="122"/>
      <c r="Q465" s="122"/>
    </row>
    <row r="466" spans="6:17" ht="14.25" customHeight="1" x14ac:dyDescent="0.3">
      <c r="F466" s="314"/>
      <c r="G466" s="314"/>
      <c r="I466" s="120"/>
      <c r="P466" s="122"/>
      <c r="Q466" s="122"/>
    </row>
    <row r="467" spans="6:17" ht="14.25" customHeight="1" x14ac:dyDescent="0.3">
      <c r="F467" s="314"/>
      <c r="G467" s="314"/>
      <c r="I467" s="120"/>
      <c r="P467" s="122"/>
      <c r="Q467" s="122"/>
    </row>
    <row r="468" spans="6:17" ht="14.25" customHeight="1" x14ac:dyDescent="0.3">
      <c r="F468" s="314"/>
      <c r="G468" s="314"/>
      <c r="I468" s="120"/>
      <c r="P468" s="122"/>
      <c r="Q468" s="122"/>
    </row>
    <row r="469" spans="6:17" ht="14.25" customHeight="1" x14ac:dyDescent="0.3">
      <c r="F469" s="314"/>
      <c r="G469" s="314"/>
      <c r="I469" s="120"/>
      <c r="P469" s="122"/>
      <c r="Q469" s="122"/>
    </row>
    <row r="470" spans="6:17" ht="14.25" customHeight="1" x14ac:dyDescent="0.3">
      <c r="F470" s="314"/>
      <c r="G470" s="314"/>
      <c r="I470" s="120"/>
      <c r="P470" s="122"/>
      <c r="Q470" s="122"/>
    </row>
    <row r="471" spans="6:17" ht="14.25" customHeight="1" x14ac:dyDescent="0.3">
      <c r="F471" s="314"/>
      <c r="G471" s="314"/>
      <c r="I471" s="120"/>
      <c r="P471" s="122"/>
      <c r="Q471" s="122"/>
    </row>
    <row r="472" spans="6:17" ht="14.25" customHeight="1" x14ac:dyDescent="0.3">
      <c r="F472" s="314"/>
      <c r="G472" s="314"/>
      <c r="I472" s="120"/>
      <c r="P472" s="122"/>
      <c r="Q472" s="122"/>
    </row>
    <row r="473" spans="6:17" ht="14.25" customHeight="1" x14ac:dyDescent="0.3">
      <c r="F473" s="314"/>
      <c r="G473" s="314"/>
      <c r="I473" s="120"/>
      <c r="P473" s="122"/>
      <c r="Q473" s="122"/>
    </row>
    <row r="474" spans="6:17" ht="14.25" customHeight="1" x14ac:dyDescent="0.3">
      <c r="F474" s="314"/>
      <c r="G474" s="314"/>
      <c r="I474" s="120"/>
      <c r="P474" s="122"/>
      <c r="Q474" s="122"/>
    </row>
    <row r="475" spans="6:17" ht="14.25" customHeight="1" x14ac:dyDescent="0.3">
      <c r="F475" s="314"/>
      <c r="G475" s="314"/>
      <c r="I475" s="120"/>
      <c r="P475" s="122"/>
      <c r="Q475" s="122"/>
    </row>
    <row r="476" spans="6:17" ht="14.25" customHeight="1" x14ac:dyDescent="0.3">
      <c r="F476" s="314"/>
      <c r="G476" s="314"/>
      <c r="I476" s="120"/>
      <c r="P476" s="122"/>
      <c r="Q476" s="122"/>
    </row>
    <row r="477" spans="6:17" ht="14.25" customHeight="1" x14ac:dyDescent="0.3">
      <c r="F477" s="314"/>
      <c r="G477" s="314"/>
      <c r="I477" s="120"/>
      <c r="P477" s="122"/>
      <c r="Q477" s="122"/>
    </row>
    <row r="478" spans="6:17" ht="14.25" customHeight="1" x14ac:dyDescent="0.3">
      <c r="F478" s="314"/>
      <c r="G478" s="314"/>
      <c r="I478" s="120"/>
      <c r="P478" s="122"/>
      <c r="Q478" s="122"/>
    </row>
    <row r="479" spans="6:17" ht="14.25" customHeight="1" x14ac:dyDescent="0.3">
      <c r="F479" s="314"/>
      <c r="G479" s="314"/>
      <c r="I479" s="120"/>
      <c r="P479" s="122"/>
      <c r="Q479" s="122"/>
    </row>
    <row r="480" spans="6:17" ht="14.25" customHeight="1" x14ac:dyDescent="0.3">
      <c r="F480" s="314"/>
      <c r="G480" s="314"/>
      <c r="I480" s="120"/>
      <c r="P480" s="122"/>
      <c r="Q480" s="122"/>
    </row>
    <row r="481" spans="6:17" ht="14.25" customHeight="1" x14ac:dyDescent="0.3">
      <c r="F481" s="314"/>
      <c r="G481" s="314"/>
      <c r="I481" s="120"/>
      <c r="P481" s="122"/>
      <c r="Q481" s="122"/>
    </row>
    <row r="482" spans="6:17" ht="14.25" customHeight="1" x14ac:dyDescent="0.3">
      <c r="F482" s="314"/>
      <c r="G482" s="314"/>
      <c r="I482" s="120"/>
      <c r="P482" s="122"/>
      <c r="Q482" s="122"/>
    </row>
    <row r="483" spans="6:17" ht="14.25" customHeight="1" x14ac:dyDescent="0.3">
      <c r="F483" s="314"/>
      <c r="G483" s="314"/>
      <c r="I483" s="120"/>
      <c r="P483" s="122"/>
      <c r="Q483" s="122"/>
    </row>
    <row r="484" spans="6:17" ht="14.25" customHeight="1" x14ac:dyDescent="0.3">
      <c r="F484" s="314"/>
      <c r="G484" s="314"/>
      <c r="I484" s="120"/>
      <c r="P484" s="122"/>
      <c r="Q484" s="122"/>
    </row>
    <row r="485" spans="6:17" ht="14.25" customHeight="1" x14ac:dyDescent="0.3">
      <c r="F485" s="314"/>
      <c r="G485" s="314"/>
      <c r="I485" s="120"/>
      <c r="P485" s="122"/>
      <c r="Q485" s="122"/>
    </row>
    <row r="486" spans="6:17" ht="14.25" customHeight="1" x14ac:dyDescent="0.3">
      <c r="F486" s="314"/>
      <c r="G486" s="314"/>
      <c r="I486" s="120"/>
      <c r="P486" s="122"/>
      <c r="Q486" s="122"/>
    </row>
    <row r="487" spans="6:17" ht="14.25" customHeight="1" x14ac:dyDescent="0.3">
      <c r="F487" s="314"/>
      <c r="G487" s="314"/>
      <c r="I487" s="120"/>
      <c r="P487" s="122"/>
      <c r="Q487" s="122"/>
    </row>
    <row r="488" spans="6:17" ht="14.25" customHeight="1" x14ac:dyDescent="0.3">
      <c r="F488" s="314"/>
      <c r="G488" s="314"/>
      <c r="I488" s="120"/>
      <c r="P488" s="122"/>
      <c r="Q488" s="122"/>
    </row>
    <row r="489" spans="6:17" ht="14.25" customHeight="1" x14ac:dyDescent="0.3">
      <c r="F489" s="314"/>
      <c r="G489" s="314"/>
      <c r="I489" s="120"/>
      <c r="P489" s="122"/>
      <c r="Q489" s="122"/>
    </row>
    <row r="490" spans="6:17" ht="14.25" customHeight="1" x14ac:dyDescent="0.3">
      <c r="F490" s="314"/>
      <c r="G490" s="314"/>
      <c r="I490" s="120"/>
      <c r="P490" s="122"/>
      <c r="Q490" s="122"/>
    </row>
    <row r="491" spans="6:17" ht="14.25" customHeight="1" x14ac:dyDescent="0.3">
      <c r="F491" s="314"/>
      <c r="G491" s="314"/>
      <c r="I491" s="120"/>
      <c r="P491" s="122"/>
      <c r="Q491" s="122"/>
    </row>
    <row r="492" spans="6:17" ht="14.25" customHeight="1" x14ac:dyDescent="0.3">
      <c r="F492" s="314"/>
      <c r="G492" s="314"/>
      <c r="I492" s="120"/>
      <c r="P492" s="122"/>
      <c r="Q492" s="122"/>
    </row>
    <row r="493" spans="6:17" ht="14.25" customHeight="1" x14ac:dyDescent="0.3">
      <c r="F493" s="314"/>
      <c r="G493" s="314"/>
      <c r="I493" s="120"/>
      <c r="P493" s="122"/>
      <c r="Q493" s="122"/>
    </row>
    <row r="494" spans="6:17" ht="14.25" customHeight="1" x14ac:dyDescent="0.3">
      <c r="F494" s="314"/>
      <c r="G494" s="314"/>
      <c r="I494" s="120"/>
      <c r="P494" s="122"/>
      <c r="Q494" s="122"/>
    </row>
    <row r="495" spans="6:17" ht="14.25" customHeight="1" x14ac:dyDescent="0.3">
      <c r="F495" s="314"/>
      <c r="G495" s="314"/>
      <c r="I495" s="120"/>
      <c r="P495" s="122"/>
      <c r="Q495" s="122"/>
    </row>
    <row r="496" spans="6:17" ht="14.25" customHeight="1" x14ac:dyDescent="0.3">
      <c r="F496" s="314"/>
      <c r="G496" s="314"/>
      <c r="I496" s="120"/>
      <c r="P496" s="122"/>
      <c r="Q496" s="122"/>
    </row>
    <row r="497" spans="6:17" ht="14.25" customHeight="1" x14ac:dyDescent="0.3">
      <c r="F497" s="314"/>
      <c r="G497" s="314"/>
      <c r="I497" s="120"/>
      <c r="P497" s="122"/>
      <c r="Q497" s="122"/>
    </row>
    <row r="498" spans="6:17" ht="14.25" customHeight="1" x14ac:dyDescent="0.3">
      <c r="F498" s="314"/>
      <c r="G498" s="314"/>
      <c r="I498" s="120"/>
      <c r="P498" s="122"/>
      <c r="Q498" s="122"/>
    </row>
    <row r="499" spans="6:17" ht="14.25" customHeight="1" x14ac:dyDescent="0.3">
      <c r="F499" s="314"/>
      <c r="G499" s="314"/>
      <c r="I499" s="120"/>
      <c r="P499" s="122"/>
      <c r="Q499" s="122"/>
    </row>
    <row r="500" spans="6:17" ht="14.25" customHeight="1" x14ac:dyDescent="0.3">
      <c r="F500" s="314"/>
      <c r="G500" s="314"/>
      <c r="I500" s="120"/>
      <c r="P500" s="122"/>
      <c r="Q500" s="122"/>
    </row>
    <row r="501" spans="6:17" ht="14.25" customHeight="1" x14ac:dyDescent="0.3">
      <c r="F501" s="314"/>
      <c r="G501" s="314"/>
      <c r="I501" s="120"/>
      <c r="P501" s="122"/>
      <c r="Q501" s="122"/>
    </row>
    <row r="502" spans="6:17" ht="14.25" customHeight="1" x14ac:dyDescent="0.3">
      <c r="F502" s="314"/>
      <c r="G502" s="314"/>
      <c r="I502" s="120"/>
      <c r="P502" s="122"/>
      <c r="Q502" s="122"/>
    </row>
    <row r="503" spans="6:17" ht="14.25" customHeight="1" x14ac:dyDescent="0.3">
      <c r="F503" s="314"/>
      <c r="G503" s="314"/>
      <c r="I503" s="120"/>
      <c r="P503" s="122"/>
      <c r="Q503" s="122"/>
    </row>
    <row r="504" spans="6:17" ht="14.25" customHeight="1" x14ac:dyDescent="0.3">
      <c r="F504" s="314"/>
      <c r="G504" s="314"/>
      <c r="I504" s="120"/>
      <c r="P504" s="122"/>
      <c r="Q504" s="122"/>
    </row>
    <row r="505" spans="6:17" ht="14.25" customHeight="1" x14ac:dyDescent="0.3">
      <c r="F505" s="314"/>
      <c r="G505" s="314"/>
      <c r="I505" s="120"/>
      <c r="P505" s="122"/>
      <c r="Q505" s="122"/>
    </row>
    <row r="506" spans="6:17" ht="14.25" customHeight="1" x14ac:dyDescent="0.3">
      <c r="F506" s="314"/>
      <c r="G506" s="314"/>
      <c r="I506" s="120"/>
      <c r="P506" s="122"/>
      <c r="Q506" s="122"/>
    </row>
    <row r="507" spans="6:17" ht="14.25" customHeight="1" x14ac:dyDescent="0.3">
      <c r="F507" s="314"/>
      <c r="G507" s="314"/>
      <c r="I507" s="120"/>
      <c r="P507" s="122"/>
      <c r="Q507" s="122"/>
    </row>
    <row r="508" spans="6:17" ht="14.25" customHeight="1" x14ac:dyDescent="0.3">
      <c r="F508" s="314"/>
      <c r="G508" s="314"/>
      <c r="I508" s="120"/>
      <c r="P508" s="122"/>
      <c r="Q508" s="122"/>
    </row>
    <row r="509" spans="6:17" ht="14.25" customHeight="1" x14ac:dyDescent="0.3">
      <c r="F509" s="314"/>
      <c r="G509" s="314"/>
      <c r="I509" s="120"/>
      <c r="P509" s="122"/>
      <c r="Q509" s="122"/>
    </row>
    <row r="510" spans="6:17" ht="14.25" customHeight="1" x14ac:dyDescent="0.3">
      <c r="F510" s="314"/>
      <c r="G510" s="314"/>
      <c r="I510" s="120"/>
      <c r="P510" s="122"/>
      <c r="Q510" s="122"/>
    </row>
    <row r="511" spans="6:17" ht="14.25" customHeight="1" x14ac:dyDescent="0.3">
      <c r="F511" s="314"/>
      <c r="G511" s="314"/>
      <c r="I511" s="120"/>
      <c r="P511" s="122"/>
      <c r="Q511" s="122"/>
    </row>
    <row r="512" spans="6:17" ht="14.25" customHeight="1" x14ac:dyDescent="0.3">
      <c r="F512" s="314"/>
      <c r="G512" s="314"/>
      <c r="I512" s="120"/>
      <c r="P512" s="122"/>
      <c r="Q512" s="122"/>
    </row>
    <row r="513" spans="6:17" ht="14.25" customHeight="1" x14ac:dyDescent="0.3">
      <c r="F513" s="314"/>
      <c r="G513" s="314"/>
      <c r="I513" s="120"/>
      <c r="P513" s="122"/>
      <c r="Q513" s="122"/>
    </row>
    <row r="514" spans="6:17" ht="14.25" customHeight="1" x14ac:dyDescent="0.3">
      <c r="F514" s="314"/>
      <c r="G514" s="314"/>
      <c r="I514" s="120"/>
      <c r="P514" s="122"/>
      <c r="Q514" s="122"/>
    </row>
    <row r="515" spans="6:17" ht="14.25" customHeight="1" x14ac:dyDescent="0.3">
      <c r="F515" s="314"/>
      <c r="G515" s="314"/>
      <c r="I515" s="120"/>
      <c r="P515" s="122"/>
      <c r="Q515" s="122"/>
    </row>
    <row r="516" spans="6:17" ht="14.25" customHeight="1" x14ac:dyDescent="0.3">
      <c r="F516" s="314"/>
      <c r="G516" s="314"/>
      <c r="I516" s="120"/>
      <c r="P516" s="122"/>
      <c r="Q516" s="122"/>
    </row>
    <row r="517" spans="6:17" ht="14.25" customHeight="1" x14ac:dyDescent="0.3">
      <c r="F517" s="314"/>
      <c r="G517" s="314"/>
      <c r="I517" s="120"/>
      <c r="P517" s="122"/>
      <c r="Q517" s="122"/>
    </row>
    <row r="518" spans="6:17" ht="14.25" customHeight="1" x14ac:dyDescent="0.3">
      <c r="F518" s="314"/>
      <c r="G518" s="314"/>
      <c r="I518" s="120"/>
      <c r="P518" s="122"/>
      <c r="Q518" s="122"/>
    </row>
    <row r="519" spans="6:17" ht="14.25" customHeight="1" x14ac:dyDescent="0.3">
      <c r="F519" s="314"/>
      <c r="G519" s="314"/>
      <c r="I519" s="120"/>
      <c r="P519" s="122"/>
      <c r="Q519" s="122"/>
    </row>
    <row r="520" spans="6:17" ht="14.25" customHeight="1" x14ac:dyDescent="0.3">
      <c r="F520" s="314"/>
      <c r="G520" s="314"/>
      <c r="I520" s="120"/>
      <c r="P520" s="122"/>
      <c r="Q520" s="122"/>
    </row>
    <row r="521" spans="6:17" ht="14.25" customHeight="1" x14ac:dyDescent="0.3">
      <c r="F521" s="314"/>
      <c r="G521" s="314"/>
      <c r="I521" s="120"/>
      <c r="P521" s="122"/>
      <c r="Q521" s="122"/>
    </row>
    <row r="522" spans="6:17" ht="14.25" customHeight="1" x14ac:dyDescent="0.3">
      <c r="F522" s="314"/>
      <c r="G522" s="314"/>
      <c r="I522" s="120"/>
      <c r="P522" s="122"/>
      <c r="Q522" s="122"/>
    </row>
    <row r="523" spans="6:17" ht="14.25" customHeight="1" x14ac:dyDescent="0.3">
      <c r="F523" s="314"/>
      <c r="G523" s="314"/>
      <c r="I523" s="120"/>
      <c r="P523" s="122"/>
      <c r="Q523" s="122"/>
    </row>
    <row r="524" spans="6:17" ht="14.25" customHeight="1" x14ac:dyDescent="0.3">
      <c r="F524" s="314"/>
      <c r="G524" s="314"/>
      <c r="I524" s="120"/>
      <c r="P524" s="122"/>
      <c r="Q524" s="122"/>
    </row>
    <row r="525" spans="6:17" ht="14.25" customHeight="1" x14ac:dyDescent="0.3">
      <c r="F525" s="314"/>
      <c r="G525" s="314"/>
      <c r="I525" s="120"/>
      <c r="P525" s="122"/>
      <c r="Q525" s="122"/>
    </row>
    <row r="526" spans="6:17" ht="14.25" customHeight="1" x14ac:dyDescent="0.3">
      <c r="F526" s="314"/>
      <c r="G526" s="314"/>
      <c r="I526" s="120"/>
      <c r="P526" s="122"/>
      <c r="Q526" s="122"/>
    </row>
    <row r="527" spans="6:17" ht="14.25" customHeight="1" x14ac:dyDescent="0.3">
      <c r="F527" s="314"/>
      <c r="G527" s="314"/>
      <c r="I527" s="120"/>
      <c r="P527" s="122"/>
      <c r="Q527" s="122"/>
    </row>
    <row r="528" spans="6:17" ht="14.25" customHeight="1" x14ac:dyDescent="0.3">
      <c r="F528" s="314"/>
      <c r="G528" s="314"/>
      <c r="I528" s="120"/>
      <c r="P528" s="122"/>
      <c r="Q528" s="122"/>
    </row>
    <row r="529" spans="6:17" ht="14.25" customHeight="1" x14ac:dyDescent="0.3">
      <c r="F529" s="314"/>
      <c r="G529" s="314"/>
      <c r="I529" s="120"/>
      <c r="P529" s="122"/>
      <c r="Q529" s="122"/>
    </row>
    <row r="530" spans="6:17" ht="14.25" customHeight="1" x14ac:dyDescent="0.3">
      <c r="F530" s="314"/>
      <c r="G530" s="314"/>
      <c r="I530" s="120"/>
      <c r="P530" s="122"/>
      <c r="Q530" s="122"/>
    </row>
    <row r="531" spans="6:17" ht="14.25" customHeight="1" x14ac:dyDescent="0.3">
      <c r="F531" s="314"/>
      <c r="G531" s="314"/>
      <c r="I531" s="120"/>
      <c r="P531" s="122"/>
      <c r="Q531" s="122"/>
    </row>
    <row r="532" spans="6:17" ht="14.25" customHeight="1" x14ac:dyDescent="0.3">
      <c r="F532" s="314"/>
      <c r="G532" s="314"/>
      <c r="I532" s="120"/>
      <c r="P532" s="122"/>
      <c r="Q532" s="122"/>
    </row>
    <row r="533" spans="6:17" ht="14.25" customHeight="1" x14ac:dyDescent="0.3">
      <c r="F533" s="314"/>
      <c r="G533" s="314"/>
      <c r="I533" s="120"/>
      <c r="P533" s="122"/>
      <c r="Q533" s="122"/>
    </row>
    <row r="534" spans="6:17" ht="14.25" customHeight="1" x14ac:dyDescent="0.3">
      <c r="F534" s="314"/>
      <c r="G534" s="314"/>
      <c r="I534" s="120"/>
      <c r="P534" s="122"/>
      <c r="Q534" s="122"/>
    </row>
    <row r="535" spans="6:17" ht="14.25" customHeight="1" x14ac:dyDescent="0.3">
      <c r="F535" s="314"/>
      <c r="G535" s="314"/>
      <c r="I535" s="120"/>
      <c r="P535" s="122"/>
      <c r="Q535" s="122"/>
    </row>
    <row r="536" spans="6:17" ht="14.25" customHeight="1" x14ac:dyDescent="0.3">
      <c r="F536" s="314"/>
      <c r="G536" s="314"/>
      <c r="I536" s="120"/>
      <c r="P536" s="122"/>
      <c r="Q536" s="122"/>
    </row>
    <row r="537" spans="6:17" ht="14.25" customHeight="1" x14ac:dyDescent="0.3">
      <c r="F537" s="314"/>
      <c r="G537" s="314"/>
      <c r="I537" s="120"/>
      <c r="P537" s="122"/>
      <c r="Q537" s="122"/>
    </row>
    <row r="538" spans="6:17" ht="14.25" customHeight="1" x14ac:dyDescent="0.3">
      <c r="F538" s="314"/>
      <c r="G538" s="314"/>
      <c r="I538" s="120"/>
      <c r="P538" s="122"/>
      <c r="Q538" s="122"/>
    </row>
    <row r="539" spans="6:17" ht="14.25" customHeight="1" x14ac:dyDescent="0.3">
      <c r="F539" s="314"/>
      <c r="G539" s="314"/>
      <c r="I539" s="120"/>
      <c r="P539" s="122"/>
      <c r="Q539" s="122"/>
    </row>
    <row r="540" spans="6:17" ht="14.25" customHeight="1" x14ac:dyDescent="0.3">
      <c r="F540" s="314"/>
      <c r="G540" s="314"/>
      <c r="I540" s="120"/>
      <c r="P540" s="122"/>
      <c r="Q540" s="122"/>
    </row>
    <row r="541" spans="6:17" ht="14.25" customHeight="1" x14ac:dyDescent="0.3">
      <c r="F541" s="314"/>
      <c r="G541" s="314"/>
      <c r="I541" s="120"/>
      <c r="P541" s="122"/>
      <c r="Q541" s="122"/>
    </row>
    <row r="542" spans="6:17" ht="14.25" customHeight="1" x14ac:dyDescent="0.3">
      <c r="F542" s="314"/>
      <c r="G542" s="314"/>
      <c r="I542" s="120"/>
      <c r="P542" s="122"/>
      <c r="Q542" s="122"/>
    </row>
    <row r="543" spans="6:17" ht="14.25" customHeight="1" x14ac:dyDescent="0.3">
      <c r="F543" s="314"/>
      <c r="G543" s="314"/>
      <c r="I543" s="120"/>
      <c r="P543" s="122"/>
      <c r="Q543" s="122"/>
    </row>
    <row r="544" spans="6:17" ht="14.25" customHeight="1" x14ac:dyDescent="0.3">
      <c r="F544" s="314"/>
      <c r="G544" s="314"/>
      <c r="I544" s="120"/>
      <c r="P544" s="122"/>
      <c r="Q544" s="122"/>
    </row>
    <row r="545" spans="6:17" ht="14.25" customHeight="1" x14ac:dyDescent="0.3">
      <c r="F545" s="314"/>
      <c r="G545" s="314"/>
      <c r="I545" s="120"/>
      <c r="P545" s="122"/>
      <c r="Q545" s="122"/>
    </row>
    <row r="546" spans="6:17" ht="14.25" customHeight="1" x14ac:dyDescent="0.3">
      <c r="F546" s="314"/>
      <c r="G546" s="314"/>
      <c r="I546" s="120"/>
      <c r="P546" s="122"/>
      <c r="Q546" s="122"/>
    </row>
    <row r="547" spans="6:17" ht="14.25" customHeight="1" x14ac:dyDescent="0.3">
      <c r="F547" s="314"/>
      <c r="G547" s="314"/>
      <c r="I547" s="120"/>
      <c r="P547" s="122"/>
      <c r="Q547" s="122"/>
    </row>
    <row r="548" spans="6:17" ht="14.25" customHeight="1" x14ac:dyDescent="0.3">
      <c r="F548" s="314"/>
      <c r="G548" s="314"/>
      <c r="I548" s="120"/>
      <c r="P548" s="122"/>
      <c r="Q548" s="122"/>
    </row>
    <row r="549" spans="6:17" ht="14.25" customHeight="1" x14ac:dyDescent="0.3">
      <c r="F549" s="314"/>
      <c r="G549" s="314"/>
      <c r="I549" s="120"/>
      <c r="P549" s="122"/>
      <c r="Q549" s="122"/>
    </row>
    <row r="550" spans="6:17" ht="14.25" customHeight="1" x14ac:dyDescent="0.3">
      <c r="F550" s="314"/>
      <c r="G550" s="314"/>
      <c r="I550" s="120"/>
      <c r="P550" s="122"/>
      <c r="Q550" s="122"/>
    </row>
    <row r="551" spans="6:17" ht="14.25" customHeight="1" x14ac:dyDescent="0.3">
      <c r="F551" s="314"/>
      <c r="G551" s="314"/>
      <c r="I551" s="120"/>
      <c r="P551" s="122"/>
      <c r="Q551" s="122"/>
    </row>
    <row r="552" spans="6:17" ht="14.25" customHeight="1" x14ac:dyDescent="0.3">
      <c r="F552" s="314"/>
      <c r="G552" s="314"/>
      <c r="I552" s="120"/>
      <c r="P552" s="122"/>
      <c r="Q552" s="122"/>
    </row>
    <row r="553" spans="6:17" ht="14.25" customHeight="1" x14ac:dyDescent="0.3">
      <c r="F553" s="314"/>
      <c r="G553" s="314"/>
      <c r="I553" s="120"/>
      <c r="P553" s="122"/>
      <c r="Q553" s="122"/>
    </row>
    <row r="554" spans="6:17" ht="14.25" customHeight="1" x14ac:dyDescent="0.3">
      <c r="F554" s="314"/>
      <c r="G554" s="314"/>
      <c r="I554" s="120"/>
      <c r="P554" s="122"/>
      <c r="Q554" s="122"/>
    </row>
    <row r="555" spans="6:17" ht="14.25" customHeight="1" x14ac:dyDescent="0.3">
      <c r="F555" s="314"/>
      <c r="G555" s="314"/>
      <c r="I555" s="120"/>
      <c r="P555" s="122"/>
      <c r="Q555" s="122"/>
    </row>
    <row r="556" spans="6:17" ht="14.25" customHeight="1" x14ac:dyDescent="0.3">
      <c r="F556" s="314"/>
      <c r="G556" s="314"/>
      <c r="I556" s="120"/>
      <c r="P556" s="122"/>
      <c r="Q556" s="122"/>
    </row>
    <row r="557" spans="6:17" ht="14.25" customHeight="1" x14ac:dyDescent="0.3">
      <c r="F557" s="314"/>
      <c r="G557" s="314"/>
      <c r="I557" s="120"/>
      <c r="P557" s="122"/>
      <c r="Q557" s="122"/>
    </row>
    <row r="558" spans="6:17" ht="14.25" customHeight="1" x14ac:dyDescent="0.3">
      <c r="F558" s="314"/>
      <c r="G558" s="314"/>
      <c r="I558" s="120"/>
      <c r="P558" s="122"/>
      <c r="Q558" s="122"/>
    </row>
    <row r="559" spans="6:17" ht="14.25" customHeight="1" x14ac:dyDescent="0.3">
      <c r="F559" s="314"/>
      <c r="G559" s="314"/>
      <c r="I559" s="120"/>
      <c r="P559" s="122"/>
      <c r="Q559" s="122"/>
    </row>
    <row r="560" spans="6:17" ht="14.25" customHeight="1" x14ac:dyDescent="0.3">
      <c r="F560" s="314"/>
      <c r="G560" s="314"/>
      <c r="I560" s="120"/>
      <c r="P560" s="122"/>
      <c r="Q560" s="122"/>
    </row>
    <row r="561" spans="6:17" ht="14.25" customHeight="1" x14ac:dyDescent="0.3">
      <c r="F561" s="314"/>
      <c r="G561" s="314"/>
      <c r="I561" s="120"/>
      <c r="P561" s="122"/>
      <c r="Q561" s="122"/>
    </row>
    <row r="562" spans="6:17" ht="14.25" customHeight="1" x14ac:dyDescent="0.3">
      <c r="F562" s="314"/>
      <c r="G562" s="314"/>
      <c r="I562" s="120"/>
      <c r="P562" s="122"/>
      <c r="Q562" s="122"/>
    </row>
    <row r="563" spans="6:17" ht="14.25" customHeight="1" x14ac:dyDescent="0.3">
      <c r="F563" s="314"/>
      <c r="G563" s="314"/>
      <c r="I563" s="120"/>
      <c r="P563" s="122"/>
      <c r="Q563" s="122"/>
    </row>
    <row r="564" spans="6:17" ht="14.25" customHeight="1" x14ac:dyDescent="0.3">
      <c r="F564" s="314"/>
      <c r="G564" s="314"/>
      <c r="I564" s="120"/>
      <c r="P564" s="122"/>
      <c r="Q564" s="122"/>
    </row>
    <row r="565" spans="6:17" ht="14.25" customHeight="1" x14ac:dyDescent="0.3">
      <c r="F565" s="314"/>
      <c r="G565" s="314"/>
      <c r="I565" s="120"/>
      <c r="P565" s="122"/>
      <c r="Q565" s="122"/>
    </row>
    <row r="566" spans="6:17" ht="14.25" customHeight="1" x14ac:dyDescent="0.3">
      <c r="F566" s="314"/>
      <c r="G566" s="314"/>
      <c r="I566" s="120"/>
      <c r="P566" s="122"/>
      <c r="Q566" s="122"/>
    </row>
    <row r="567" spans="6:17" ht="14.25" customHeight="1" x14ac:dyDescent="0.3">
      <c r="F567" s="314"/>
      <c r="G567" s="314"/>
      <c r="I567" s="120"/>
      <c r="P567" s="122"/>
      <c r="Q567" s="122"/>
    </row>
    <row r="568" spans="6:17" ht="14.25" customHeight="1" x14ac:dyDescent="0.3">
      <c r="F568" s="314"/>
      <c r="G568" s="314"/>
      <c r="I568" s="120"/>
      <c r="P568" s="122"/>
      <c r="Q568" s="122"/>
    </row>
    <row r="569" spans="6:17" ht="14.25" customHeight="1" x14ac:dyDescent="0.3">
      <c r="F569" s="314"/>
      <c r="G569" s="314"/>
      <c r="I569" s="120"/>
      <c r="P569" s="122"/>
      <c r="Q569" s="122"/>
    </row>
    <row r="570" spans="6:17" ht="14.25" customHeight="1" x14ac:dyDescent="0.3">
      <c r="F570" s="314"/>
      <c r="G570" s="314"/>
      <c r="I570" s="120"/>
      <c r="P570" s="122"/>
      <c r="Q570" s="122"/>
    </row>
    <row r="571" spans="6:17" ht="14.25" customHeight="1" x14ac:dyDescent="0.3">
      <c r="F571" s="314"/>
      <c r="G571" s="314"/>
      <c r="I571" s="120"/>
      <c r="P571" s="122"/>
      <c r="Q571" s="122"/>
    </row>
    <row r="572" spans="6:17" ht="14.25" customHeight="1" x14ac:dyDescent="0.3">
      <c r="F572" s="314"/>
      <c r="G572" s="314"/>
      <c r="I572" s="120"/>
      <c r="P572" s="122"/>
      <c r="Q572" s="122"/>
    </row>
    <row r="573" spans="6:17" ht="14.25" customHeight="1" x14ac:dyDescent="0.3">
      <c r="F573" s="314"/>
      <c r="G573" s="314"/>
      <c r="I573" s="120"/>
      <c r="P573" s="122"/>
      <c r="Q573" s="122"/>
    </row>
    <row r="574" spans="6:17" ht="14.25" customHeight="1" x14ac:dyDescent="0.3">
      <c r="F574" s="314"/>
      <c r="G574" s="314"/>
      <c r="I574" s="120"/>
      <c r="P574" s="122"/>
      <c r="Q574" s="122"/>
    </row>
    <row r="575" spans="6:17" ht="14.25" customHeight="1" x14ac:dyDescent="0.3">
      <c r="F575" s="314"/>
      <c r="G575" s="314"/>
      <c r="I575" s="120"/>
      <c r="P575" s="122"/>
      <c r="Q575" s="122"/>
    </row>
    <row r="576" spans="6:17" ht="14.25" customHeight="1" x14ac:dyDescent="0.3">
      <c r="F576" s="314"/>
      <c r="G576" s="314"/>
      <c r="I576" s="120"/>
      <c r="P576" s="122"/>
      <c r="Q576" s="122"/>
    </row>
    <row r="577" spans="6:17" ht="14.25" customHeight="1" x14ac:dyDescent="0.3">
      <c r="F577" s="314"/>
      <c r="G577" s="314"/>
      <c r="I577" s="120"/>
      <c r="P577" s="122"/>
      <c r="Q577" s="122"/>
    </row>
    <row r="578" spans="6:17" ht="14.25" customHeight="1" x14ac:dyDescent="0.3">
      <c r="F578" s="314"/>
      <c r="G578" s="314"/>
      <c r="I578" s="120"/>
      <c r="P578" s="122"/>
      <c r="Q578" s="122"/>
    </row>
    <row r="579" spans="6:17" ht="14.25" customHeight="1" x14ac:dyDescent="0.3">
      <c r="F579" s="314"/>
      <c r="G579" s="314"/>
      <c r="I579" s="120"/>
      <c r="P579" s="122"/>
      <c r="Q579" s="122"/>
    </row>
    <row r="580" spans="6:17" ht="14.25" customHeight="1" x14ac:dyDescent="0.3">
      <c r="F580" s="314"/>
      <c r="G580" s="314"/>
      <c r="I580" s="120"/>
      <c r="P580" s="122"/>
      <c r="Q580" s="122"/>
    </row>
    <row r="581" spans="6:17" ht="14.25" customHeight="1" x14ac:dyDescent="0.3">
      <c r="F581" s="314"/>
      <c r="G581" s="314"/>
      <c r="I581" s="120"/>
      <c r="P581" s="122"/>
      <c r="Q581" s="122"/>
    </row>
    <row r="582" spans="6:17" ht="14.25" customHeight="1" x14ac:dyDescent="0.3">
      <c r="F582" s="314"/>
      <c r="G582" s="314"/>
      <c r="I582" s="120"/>
      <c r="P582" s="122"/>
      <c r="Q582" s="122"/>
    </row>
    <row r="583" spans="6:17" ht="14.25" customHeight="1" x14ac:dyDescent="0.3">
      <c r="F583" s="314"/>
      <c r="G583" s="314"/>
      <c r="I583" s="120"/>
      <c r="P583" s="122"/>
      <c r="Q583" s="122"/>
    </row>
    <row r="584" spans="6:17" ht="14.25" customHeight="1" x14ac:dyDescent="0.3">
      <c r="F584" s="314"/>
      <c r="G584" s="314"/>
      <c r="I584" s="120"/>
      <c r="P584" s="122"/>
      <c r="Q584" s="122"/>
    </row>
    <row r="585" spans="6:17" ht="14.25" customHeight="1" x14ac:dyDescent="0.3">
      <c r="F585" s="314"/>
      <c r="G585" s="314"/>
      <c r="I585" s="120"/>
      <c r="P585" s="122"/>
      <c r="Q585" s="122"/>
    </row>
    <row r="586" spans="6:17" ht="14.25" customHeight="1" x14ac:dyDescent="0.3">
      <c r="F586" s="314"/>
      <c r="G586" s="314"/>
      <c r="I586" s="120"/>
      <c r="P586" s="122"/>
      <c r="Q586" s="122"/>
    </row>
    <row r="587" spans="6:17" ht="14.25" customHeight="1" x14ac:dyDescent="0.3">
      <c r="F587" s="314"/>
      <c r="G587" s="314"/>
      <c r="I587" s="120"/>
      <c r="P587" s="122"/>
      <c r="Q587" s="122"/>
    </row>
    <row r="588" spans="6:17" ht="14.25" customHeight="1" x14ac:dyDescent="0.3">
      <c r="F588" s="314"/>
      <c r="G588" s="314"/>
      <c r="I588" s="120"/>
      <c r="P588" s="122"/>
      <c r="Q588" s="122"/>
    </row>
    <row r="589" spans="6:17" ht="14.25" customHeight="1" x14ac:dyDescent="0.3">
      <c r="F589" s="314"/>
      <c r="G589" s="314"/>
      <c r="I589" s="120"/>
      <c r="P589" s="122"/>
      <c r="Q589" s="122"/>
    </row>
    <row r="590" spans="6:17" ht="14.25" customHeight="1" x14ac:dyDescent="0.3">
      <c r="F590" s="314"/>
      <c r="G590" s="314"/>
      <c r="I590" s="120"/>
      <c r="P590" s="122"/>
      <c r="Q590" s="122"/>
    </row>
    <row r="591" spans="6:17" ht="14.25" customHeight="1" x14ac:dyDescent="0.3">
      <c r="F591" s="314"/>
      <c r="G591" s="314"/>
      <c r="I591" s="120"/>
      <c r="P591" s="122"/>
      <c r="Q591" s="122"/>
    </row>
    <row r="592" spans="6:17" ht="14.25" customHeight="1" x14ac:dyDescent="0.3">
      <c r="F592" s="314"/>
      <c r="G592" s="314"/>
      <c r="I592" s="120"/>
      <c r="P592" s="122"/>
      <c r="Q592" s="122"/>
    </row>
    <row r="593" spans="6:17" ht="14.25" customHeight="1" x14ac:dyDescent="0.3">
      <c r="F593" s="314"/>
      <c r="G593" s="314"/>
      <c r="I593" s="120"/>
      <c r="P593" s="122"/>
      <c r="Q593" s="122"/>
    </row>
    <row r="594" spans="6:17" ht="14.25" customHeight="1" x14ac:dyDescent="0.3">
      <c r="F594" s="314"/>
      <c r="G594" s="314"/>
      <c r="I594" s="120"/>
      <c r="P594" s="122"/>
      <c r="Q594" s="122"/>
    </row>
    <row r="595" spans="6:17" ht="14.25" customHeight="1" x14ac:dyDescent="0.3">
      <c r="F595" s="314"/>
      <c r="G595" s="314"/>
      <c r="I595" s="120"/>
      <c r="P595" s="122"/>
      <c r="Q595" s="122"/>
    </row>
    <row r="596" spans="6:17" ht="14.25" customHeight="1" x14ac:dyDescent="0.3">
      <c r="F596" s="314"/>
      <c r="G596" s="314"/>
      <c r="I596" s="120"/>
      <c r="P596" s="122"/>
      <c r="Q596" s="122"/>
    </row>
    <row r="597" spans="6:17" ht="14.25" customHeight="1" x14ac:dyDescent="0.3">
      <c r="F597" s="314"/>
      <c r="G597" s="314"/>
      <c r="I597" s="120"/>
      <c r="P597" s="122"/>
      <c r="Q597" s="122"/>
    </row>
    <row r="598" spans="6:17" ht="14.25" customHeight="1" x14ac:dyDescent="0.3">
      <c r="F598" s="314"/>
      <c r="G598" s="314"/>
      <c r="I598" s="120"/>
      <c r="P598" s="122"/>
      <c r="Q598" s="122"/>
    </row>
    <row r="599" spans="6:17" ht="14.25" customHeight="1" x14ac:dyDescent="0.3">
      <c r="F599" s="314"/>
      <c r="G599" s="314"/>
      <c r="I599" s="120"/>
      <c r="P599" s="122"/>
      <c r="Q599" s="122"/>
    </row>
    <row r="600" spans="6:17" ht="14.25" customHeight="1" x14ac:dyDescent="0.3">
      <c r="F600" s="314"/>
      <c r="G600" s="314"/>
      <c r="I600" s="120"/>
      <c r="P600" s="122"/>
      <c r="Q600" s="122"/>
    </row>
    <row r="601" spans="6:17" ht="14.25" customHeight="1" x14ac:dyDescent="0.3">
      <c r="F601" s="314"/>
      <c r="G601" s="314"/>
      <c r="I601" s="120"/>
      <c r="P601" s="122"/>
      <c r="Q601" s="122"/>
    </row>
    <row r="602" spans="6:17" ht="14.25" customHeight="1" x14ac:dyDescent="0.3">
      <c r="F602" s="314"/>
      <c r="G602" s="314"/>
      <c r="I602" s="120"/>
      <c r="P602" s="122"/>
      <c r="Q602" s="122"/>
    </row>
    <row r="603" spans="6:17" ht="14.25" customHeight="1" x14ac:dyDescent="0.3">
      <c r="F603" s="314"/>
      <c r="G603" s="314"/>
      <c r="I603" s="120"/>
      <c r="P603" s="122"/>
      <c r="Q603" s="122"/>
    </row>
    <row r="604" spans="6:17" ht="14.25" customHeight="1" x14ac:dyDescent="0.3">
      <c r="F604" s="314"/>
      <c r="G604" s="314"/>
      <c r="I604" s="120"/>
      <c r="P604" s="122"/>
      <c r="Q604" s="122"/>
    </row>
    <row r="605" spans="6:17" ht="14.25" customHeight="1" x14ac:dyDescent="0.3">
      <c r="F605" s="314"/>
      <c r="G605" s="314"/>
      <c r="I605" s="120"/>
      <c r="P605" s="122"/>
      <c r="Q605" s="122"/>
    </row>
    <row r="606" spans="6:17" ht="14.25" customHeight="1" x14ac:dyDescent="0.3">
      <c r="F606" s="314"/>
      <c r="G606" s="314"/>
      <c r="I606" s="120"/>
      <c r="P606" s="122"/>
      <c r="Q606" s="122"/>
    </row>
    <row r="607" spans="6:17" ht="14.25" customHeight="1" x14ac:dyDescent="0.3">
      <c r="F607" s="314"/>
      <c r="G607" s="314"/>
      <c r="I607" s="120"/>
      <c r="P607" s="122"/>
      <c r="Q607" s="122"/>
    </row>
    <row r="608" spans="6:17" ht="14.25" customHeight="1" x14ac:dyDescent="0.3">
      <c r="F608" s="314"/>
      <c r="G608" s="314"/>
      <c r="I608" s="120"/>
      <c r="P608" s="122"/>
      <c r="Q608" s="122"/>
    </row>
    <row r="609" spans="6:17" ht="14.25" customHeight="1" x14ac:dyDescent="0.3">
      <c r="F609" s="314"/>
      <c r="G609" s="314"/>
      <c r="I609" s="120"/>
      <c r="P609" s="122"/>
      <c r="Q609" s="122"/>
    </row>
    <row r="610" spans="6:17" ht="14.25" customHeight="1" x14ac:dyDescent="0.3">
      <c r="F610" s="314"/>
      <c r="G610" s="314"/>
      <c r="I610" s="120"/>
      <c r="P610" s="122"/>
      <c r="Q610" s="122"/>
    </row>
    <row r="611" spans="6:17" ht="14.25" customHeight="1" x14ac:dyDescent="0.3">
      <c r="F611" s="314"/>
      <c r="G611" s="314"/>
      <c r="I611" s="120"/>
      <c r="P611" s="122"/>
      <c r="Q611" s="122"/>
    </row>
    <row r="612" spans="6:17" ht="14.25" customHeight="1" x14ac:dyDescent="0.3">
      <c r="F612" s="314"/>
      <c r="G612" s="314"/>
      <c r="I612" s="120"/>
      <c r="P612" s="122"/>
      <c r="Q612" s="122"/>
    </row>
    <row r="613" spans="6:17" ht="14.25" customHeight="1" x14ac:dyDescent="0.3">
      <c r="F613" s="314"/>
      <c r="G613" s="314"/>
      <c r="I613" s="120"/>
      <c r="P613" s="122"/>
      <c r="Q613" s="122"/>
    </row>
    <row r="614" spans="6:17" ht="14.25" customHeight="1" x14ac:dyDescent="0.3">
      <c r="F614" s="314"/>
      <c r="G614" s="314"/>
      <c r="I614" s="120"/>
      <c r="P614" s="122"/>
      <c r="Q614" s="122"/>
    </row>
    <row r="615" spans="6:17" ht="14.25" customHeight="1" x14ac:dyDescent="0.3">
      <c r="F615" s="314"/>
      <c r="G615" s="314"/>
      <c r="I615" s="120"/>
      <c r="P615" s="122"/>
      <c r="Q615" s="122"/>
    </row>
    <row r="616" spans="6:17" ht="14.25" customHeight="1" x14ac:dyDescent="0.3">
      <c r="F616" s="314"/>
      <c r="G616" s="314"/>
      <c r="I616" s="120"/>
      <c r="P616" s="122"/>
      <c r="Q616" s="122"/>
    </row>
    <row r="617" spans="6:17" ht="14.25" customHeight="1" x14ac:dyDescent="0.3">
      <c r="F617" s="314"/>
      <c r="G617" s="314"/>
      <c r="I617" s="120"/>
      <c r="P617" s="122"/>
      <c r="Q617" s="122"/>
    </row>
    <row r="618" spans="6:17" ht="14.25" customHeight="1" x14ac:dyDescent="0.3">
      <c r="F618" s="314"/>
      <c r="G618" s="314"/>
      <c r="I618" s="120"/>
      <c r="P618" s="122"/>
      <c r="Q618" s="122"/>
    </row>
    <row r="619" spans="6:17" ht="14.25" customHeight="1" x14ac:dyDescent="0.3">
      <c r="F619" s="314"/>
      <c r="G619" s="314"/>
      <c r="I619" s="120"/>
      <c r="P619" s="122"/>
      <c r="Q619" s="122"/>
    </row>
    <row r="620" spans="6:17" ht="14.25" customHeight="1" x14ac:dyDescent="0.3">
      <c r="F620" s="314"/>
      <c r="G620" s="314"/>
      <c r="I620" s="120"/>
      <c r="P620" s="122"/>
      <c r="Q620" s="122"/>
    </row>
    <row r="621" spans="6:17" ht="14.25" customHeight="1" x14ac:dyDescent="0.3">
      <c r="F621" s="314"/>
      <c r="G621" s="314"/>
      <c r="I621" s="120"/>
      <c r="P621" s="122"/>
      <c r="Q621" s="122"/>
    </row>
    <row r="622" spans="6:17" ht="14.25" customHeight="1" x14ac:dyDescent="0.3">
      <c r="F622" s="314"/>
      <c r="G622" s="314"/>
      <c r="I622" s="120"/>
      <c r="P622" s="122"/>
      <c r="Q622" s="122"/>
    </row>
    <row r="623" spans="6:17" ht="14.25" customHeight="1" x14ac:dyDescent="0.3">
      <c r="F623" s="314"/>
      <c r="G623" s="314"/>
      <c r="I623" s="120"/>
      <c r="P623" s="122"/>
      <c r="Q623" s="122"/>
    </row>
    <row r="624" spans="6:17" ht="14.25" customHeight="1" x14ac:dyDescent="0.3">
      <c r="F624" s="314"/>
      <c r="G624" s="314"/>
      <c r="I624" s="120"/>
      <c r="P624" s="122"/>
      <c r="Q624" s="122"/>
    </row>
    <row r="625" spans="6:17" ht="14.25" customHeight="1" x14ac:dyDescent="0.3">
      <c r="F625" s="314"/>
      <c r="G625" s="314"/>
      <c r="I625" s="120"/>
      <c r="P625" s="122"/>
      <c r="Q625" s="122"/>
    </row>
    <row r="626" spans="6:17" ht="14.25" customHeight="1" x14ac:dyDescent="0.3">
      <c r="F626" s="314"/>
      <c r="G626" s="314"/>
      <c r="I626" s="120"/>
      <c r="P626" s="122"/>
      <c r="Q626" s="122"/>
    </row>
    <row r="627" spans="6:17" ht="14.25" customHeight="1" x14ac:dyDescent="0.3">
      <c r="F627" s="314"/>
      <c r="G627" s="314"/>
      <c r="I627" s="120"/>
      <c r="P627" s="122"/>
      <c r="Q627" s="122"/>
    </row>
    <row r="628" spans="6:17" ht="14.25" customHeight="1" x14ac:dyDescent="0.3">
      <c r="F628" s="314"/>
      <c r="G628" s="314"/>
      <c r="I628" s="120"/>
      <c r="P628" s="122"/>
      <c r="Q628" s="122"/>
    </row>
    <row r="629" spans="6:17" ht="14.25" customHeight="1" x14ac:dyDescent="0.3">
      <c r="F629" s="314"/>
      <c r="G629" s="314"/>
      <c r="I629" s="120"/>
      <c r="P629" s="122"/>
      <c r="Q629" s="122"/>
    </row>
    <row r="630" spans="6:17" ht="14.25" customHeight="1" x14ac:dyDescent="0.3">
      <c r="F630" s="314"/>
      <c r="G630" s="314"/>
      <c r="I630" s="120"/>
      <c r="P630" s="122"/>
      <c r="Q630" s="122"/>
    </row>
    <row r="631" spans="6:17" ht="14.25" customHeight="1" x14ac:dyDescent="0.3">
      <c r="F631" s="314"/>
      <c r="G631" s="314"/>
      <c r="I631" s="120"/>
      <c r="P631" s="122"/>
      <c r="Q631" s="122"/>
    </row>
    <row r="632" spans="6:17" ht="14.25" customHeight="1" x14ac:dyDescent="0.3">
      <c r="F632" s="314"/>
      <c r="G632" s="314"/>
      <c r="I632" s="120"/>
      <c r="P632" s="122"/>
      <c r="Q632" s="122"/>
    </row>
    <row r="633" spans="6:17" ht="14.25" customHeight="1" x14ac:dyDescent="0.3">
      <c r="F633" s="314"/>
      <c r="G633" s="314"/>
      <c r="I633" s="120"/>
      <c r="P633" s="122"/>
      <c r="Q633" s="122"/>
    </row>
    <row r="634" spans="6:17" ht="14.25" customHeight="1" x14ac:dyDescent="0.3">
      <c r="F634" s="314"/>
      <c r="G634" s="314"/>
      <c r="I634" s="120"/>
      <c r="P634" s="122"/>
      <c r="Q634" s="122"/>
    </row>
    <row r="635" spans="6:17" ht="14.25" customHeight="1" x14ac:dyDescent="0.3">
      <c r="F635" s="314"/>
      <c r="G635" s="314"/>
      <c r="I635" s="120"/>
      <c r="P635" s="122"/>
      <c r="Q635" s="122"/>
    </row>
    <row r="636" spans="6:17" ht="14.25" customHeight="1" x14ac:dyDescent="0.3">
      <c r="F636" s="314"/>
      <c r="G636" s="314"/>
      <c r="I636" s="120"/>
      <c r="P636" s="122"/>
      <c r="Q636" s="122"/>
    </row>
    <row r="637" spans="6:17" ht="14.25" customHeight="1" x14ac:dyDescent="0.3">
      <c r="F637" s="314"/>
      <c r="G637" s="314"/>
      <c r="I637" s="120"/>
      <c r="P637" s="122"/>
      <c r="Q637" s="122"/>
    </row>
    <row r="638" spans="6:17" ht="14.25" customHeight="1" x14ac:dyDescent="0.3">
      <c r="F638" s="314"/>
      <c r="G638" s="314"/>
      <c r="I638" s="120"/>
      <c r="P638" s="122"/>
      <c r="Q638" s="122"/>
    </row>
    <row r="639" spans="6:17" ht="14.25" customHeight="1" x14ac:dyDescent="0.3">
      <c r="F639" s="314"/>
      <c r="G639" s="314"/>
      <c r="I639" s="120"/>
      <c r="P639" s="122"/>
      <c r="Q639" s="122"/>
    </row>
    <row r="640" spans="6:17" ht="14.25" customHeight="1" x14ac:dyDescent="0.3">
      <c r="F640" s="314"/>
      <c r="G640" s="314"/>
      <c r="I640" s="120"/>
      <c r="P640" s="122"/>
      <c r="Q640" s="122"/>
    </row>
    <row r="641" spans="6:17" ht="14.25" customHeight="1" x14ac:dyDescent="0.3">
      <c r="F641" s="314"/>
      <c r="G641" s="314"/>
      <c r="I641" s="120"/>
      <c r="P641" s="122"/>
      <c r="Q641" s="122"/>
    </row>
    <row r="642" spans="6:17" ht="14.25" customHeight="1" x14ac:dyDescent="0.3">
      <c r="F642" s="314"/>
      <c r="G642" s="314"/>
      <c r="I642" s="120"/>
      <c r="P642" s="122"/>
      <c r="Q642" s="122"/>
    </row>
    <row r="643" spans="6:17" ht="14.25" customHeight="1" x14ac:dyDescent="0.3">
      <c r="F643" s="314"/>
      <c r="G643" s="314"/>
      <c r="I643" s="120"/>
      <c r="P643" s="122"/>
      <c r="Q643" s="122"/>
    </row>
    <row r="644" spans="6:17" ht="14.25" customHeight="1" x14ac:dyDescent="0.3">
      <c r="F644" s="314"/>
      <c r="G644" s="314"/>
      <c r="I644" s="120"/>
      <c r="P644" s="122"/>
      <c r="Q644" s="122"/>
    </row>
    <row r="645" spans="6:17" ht="14.25" customHeight="1" x14ac:dyDescent="0.3">
      <c r="F645" s="314"/>
      <c r="G645" s="314"/>
      <c r="I645" s="120"/>
      <c r="P645" s="122"/>
      <c r="Q645" s="122"/>
    </row>
    <row r="646" spans="6:17" ht="14.25" customHeight="1" x14ac:dyDescent="0.3">
      <c r="F646" s="314"/>
      <c r="G646" s="314"/>
      <c r="I646" s="120"/>
      <c r="P646" s="122"/>
      <c r="Q646" s="122"/>
    </row>
    <row r="647" spans="6:17" ht="14.25" customHeight="1" x14ac:dyDescent="0.3">
      <c r="F647" s="314"/>
      <c r="G647" s="314"/>
      <c r="I647" s="120"/>
      <c r="P647" s="122"/>
      <c r="Q647" s="122"/>
    </row>
    <row r="648" spans="6:17" ht="14.25" customHeight="1" x14ac:dyDescent="0.3">
      <c r="F648" s="314"/>
      <c r="G648" s="314"/>
      <c r="I648" s="120"/>
      <c r="P648" s="122"/>
      <c r="Q648" s="122"/>
    </row>
    <row r="649" spans="6:17" ht="14.25" customHeight="1" x14ac:dyDescent="0.3">
      <c r="F649" s="314"/>
      <c r="G649" s="314"/>
      <c r="I649" s="120"/>
      <c r="P649" s="122"/>
      <c r="Q649" s="122"/>
    </row>
    <row r="650" spans="6:17" ht="14.25" customHeight="1" x14ac:dyDescent="0.3">
      <c r="F650" s="314"/>
      <c r="G650" s="314"/>
      <c r="I650" s="120"/>
      <c r="P650" s="122"/>
      <c r="Q650" s="122"/>
    </row>
    <row r="651" spans="6:17" ht="14.25" customHeight="1" x14ac:dyDescent="0.3">
      <c r="F651" s="314"/>
      <c r="G651" s="314"/>
      <c r="I651" s="120"/>
      <c r="P651" s="122"/>
      <c r="Q651" s="122"/>
    </row>
    <row r="652" spans="6:17" ht="14.25" customHeight="1" x14ac:dyDescent="0.3">
      <c r="F652" s="314"/>
      <c r="G652" s="314"/>
      <c r="I652" s="120"/>
      <c r="P652" s="122"/>
      <c r="Q652" s="122"/>
    </row>
    <row r="653" spans="6:17" ht="14.25" customHeight="1" x14ac:dyDescent="0.3">
      <c r="F653" s="314"/>
      <c r="G653" s="314"/>
      <c r="I653" s="120"/>
      <c r="P653" s="122"/>
      <c r="Q653" s="122"/>
    </row>
    <row r="654" spans="6:17" ht="14.25" customHeight="1" x14ac:dyDescent="0.3">
      <c r="F654" s="314"/>
      <c r="G654" s="314"/>
      <c r="I654" s="120"/>
      <c r="P654" s="122"/>
      <c r="Q654" s="122"/>
    </row>
    <row r="655" spans="6:17" ht="14.25" customHeight="1" x14ac:dyDescent="0.3">
      <c r="F655" s="314"/>
      <c r="G655" s="314"/>
      <c r="I655" s="120"/>
      <c r="P655" s="122"/>
      <c r="Q655" s="122"/>
    </row>
    <row r="656" spans="6:17" ht="14.25" customHeight="1" x14ac:dyDescent="0.3">
      <c r="F656" s="314"/>
      <c r="G656" s="314"/>
      <c r="I656" s="120"/>
      <c r="P656" s="122"/>
      <c r="Q656" s="122"/>
    </row>
    <row r="657" spans="6:17" ht="14.25" customHeight="1" x14ac:dyDescent="0.3">
      <c r="F657" s="314"/>
      <c r="G657" s="314"/>
      <c r="I657" s="120"/>
      <c r="P657" s="122"/>
      <c r="Q657" s="122"/>
    </row>
    <row r="658" spans="6:17" ht="14.25" customHeight="1" x14ac:dyDescent="0.3">
      <c r="F658" s="314"/>
      <c r="G658" s="314"/>
      <c r="I658" s="120"/>
      <c r="P658" s="122"/>
      <c r="Q658" s="122"/>
    </row>
    <row r="659" spans="6:17" ht="14.25" customHeight="1" x14ac:dyDescent="0.3">
      <c r="F659" s="314"/>
      <c r="G659" s="314"/>
      <c r="I659" s="120"/>
      <c r="P659" s="122"/>
      <c r="Q659" s="122"/>
    </row>
    <row r="660" spans="6:17" ht="14.25" customHeight="1" x14ac:dyDescent="0.3">
      <c r="F660" s="314"/>
      <c r="G660" s="314"/>
      <c r="I660" s="120"/>
      <c r="P660" s="122"/>
      <c r="Q660" s="122"/>
    </row>
    <row r="661" spans="6:17" ht="14.25" customHeight="1" x14ac:dyDescent="0.3">
      <c r="F661" s="314"/>
      <c r="G661" s="314"/>
      <c r="I661" s="120"/>
      <c r="P661" s="122"/>
      <c r="Q661" s="122"/>
    </row>
    <row r="662" spans="6:17" ht="14.25" customHeight="1" x14ac:dyDescent="0.3">
      <c r="F662" s="314"/>
      <c r="G662" s="314"/>
      <c r="I662" s="120"/>
      <c r="P662" s="122"/>
      <c r="Q662" s="122"/>
    </row>
    <row r="663" spans="6:17" ht="14.25" customHeight="1" x14ac:dyDescent="0.3">
      <c r="F663" s="314"/>
      <c r="G663" s="314"/>
      <c r="I663" s="120"/>
      <c r="P663" s="122"/>
      <c r="Q663" s="122"/>
    </row>
    <row r="664" spans="6:17" ht="14.25" customHeight="1" x14ac:dyDescent="0.3">
      <c r="F664" s="314"/>
      <c r="G664" s="314"/>
      <c r="I664" s="120"/>
      <c r="P664" s="122"/>
      <c r="Q664" s="122"/>
    </row>
    <row r="665" spans="6:17" ht="14.25" customHeight="1" x14ac:dyDescent="0.3">
      <c r="F665" s="314"/>
      <c r="G665" s="314"/>
      <c r="I665" s="120"/>
      <c r="P665" s="122"/>
      <c r="Q665" s="122"/>
    </row>
    <row r="666" spans="6:17" ht="14.25" customHeight="1" x14ac:dyDescent="0.3">
      <c r="F666" s="314"/>
      <c r="G666" s="314"/>
      <c r="I666" s="120"/>
      <c r="P666" s="122"/>
      <c r="Q666" s="122"/>
    </row>
    <row r="667" spans="6:17" ht="14.25" customHeight="1" x14ac:dyDescent="0.3">
      <c r="F667" s="314"/>
      <c r="G667" s="314"/>
      <c r="I667" s="120"/>
      <c r="P667" s="122"/>
      <c r="Q667" s="122"/>
    </row>
    <row r="668" spans="6:17" ht="14.25" customHeight="1" x14ac:dyDescent="0.3">
      <c r="F668" s="314"/>
      <c r="G668" s="314"/>
      <c r="I668" s="120"/>
      <c r="P668" s="122"/>
      <c r="Q668" s="122"/>
    </row>
    <row r="669" spans="6:17" ht="14.25" customHeight="1" x14ac:dyDescent="0.3">
      <c r="F669" s="314"/>
      <c r="G669" s="314"/>
      <c r="I669" s="120"/>
      <c r="P669" s="122"/>
      <c r="Q669" s="122"/>
    </row>
    <row r="670" spans="6:17" ht="14.25" customHeight="1" x14ac:dyDescent="0.3">
      <c r="F670" s="314"/>
      <c r="G670" s="314"/>
      <c r="I670" s="120"/>
      <c r="P670" s="122"/>
      <c r="Q670" s="122"/>
    </row>
    <row r="671" spans="6:17" ht="14.25" customHeight="1" x14ac:dyDescent="0.3">
      <c r="F671" s="314"/>
      <c r="G671" s="314"/>
      <c r="I671" s="120"/>
      <c r="P671" s="122"/>
      <c r="Q671" s="122"/>
    </row>
    <row r="672" spans="6:17" ht="14.25" customHeight="1" x14ac:dyDescent="0.3">
      <c r="F672" s="314"/>
      <c r="G672" s="314"/>
      <c r="I672" s="120"/>
      <c r="P672" s="122"/>
      <c r="Q672" s="122"/>
    </row>
    <row r="673" spans="6:17" ht="14.25" customHeight="1" x14ac:dyDescent="0.3">
      <c r="F673" s="314"/>
      <c r="G673" s="314"/>
      <c r="I673" s="120"/>
      <c r="P673" s="122"/>
      <c r="Q673" s="122"/>
    </row>
    <row r="674" spans="6:17" ht="14.25" customHeight="1" x14ac:dyDescent="0.3">
      <c r="F674" s="314"/>
      <c r="G674" s="314"/>
      <c r="I674" s="120"/>
      <c r="P674" s="122"/>
      <c r="Q674" s="122"/>
    </row>
    <row r="675" spans="6:17" ht="14.25" customHeight="1" x14ac:dyDescent="0.3">
      <c r="F675" s="314"/>
      <c r="G675" s="314"/>
      <c r="I675" s="120"/>
      <c r="P675" s="122"/>
      <c r="Q675" s="122"/>
    </row>
    <row r="676" spans="6:17" ht="14.25" customHeight="1" x14ac:dyDescent="0.3">
      <c r="F676" s="314"/>
      <c r="G676" s="314"/>
      <c r="I676" s="120"/>
      <c r="P676" s="122"/>
      <c r="Q676" s="122"/>
    </row>
    <row r="677" spans="6:17" ht="14.25" customHeight="1" x14ac:dyDescent="0.3">
      <c r="F677" s="314"/>
      <c r="G677" s="314"/>
      <c r="I677" s="120"/>
      <c r="P677" s="122"/>
      <c r="Q677" s="122"/>
    </row>
    <row r="678" spans="6:17" ht="14.25" customHeight="1" x14ac:dyDescent="0.3">
      <c r="F678" s="314"/>
      <c r="G678" s="314"/>
      <c r="I678" s="120"/>
      <c r="P678" s="122"/>
      <c r="Q678" s="122"/>
    </row>
    <row r="679" spans="6:17" ht="14.25" customHeight="1" x14ac:dyDescent="0.3">
      <c r="F679" s="314"/>
      <c r="G679" s="314"/>
      <c r="I679" s="120"/>
      <c r="P679" s="122"/>
      <c r="Q679" s="122"/>
    </row>
    <row r="680" spans="6:17" ht="14.25" customHeight="1" x14ac:dyDescent="0.3">
      <c r="F680" s="314"/>
      <c r="G680" s="314"/>
      <c r="I680" s="120"/>
      <c r="P680" s="122"/>
      <c r="Q680" s="122"/>
    </row>
    <row r="681" spans="6:17" ht="14.25" customHeight="1" x14ac:dyDescent="0.3">
      <c r="F681" s="314"/>
      <c r="G681" s="314"/>
      <c r="I681" s="120"/>
      <c r="P681" s="122"/>
      <c r="Q681" s="122"/>
    </row>
    <row r="682" spans="6:17" ht="14.25" customHeight="1" x14ac:dyDescent="0.3">
      <c r="F682" s="314"/>
      <c r="G682" s="314"/>
      <c r="I682" s="120"/>
      <c r="P682" s="122"/>
      <c r="Q682" s="122"/>
    </row>
    <row r="683" spans="6:17" ht="14.25" customHeight="1" x14ac:dyDescent="0.3">
      <c r="F683" s="314"/>
      <c r="G683" s="314"/>
      <c r="I683" s="120"/>
      <c r="P683" s="122"/>
      <c r="Q683" s="122"/>
    </row>
    <row r="684" spans="6:17" ht="14.25" customHeight="1" x14ac:dyDescent="0.3">
      <c r="F684" s="314"/>
      <c r="G684" s="314"/>
      <c r="I684" s="120"/>
      <c r="P684" s="122"/>
      <c r="Q684" s="122"/>
    </row>
    <row r="685" spans="6:17" ht="14.25" customHeight="1" x14ac:dyDescent="0.3">
      <c r="F685" s="314"/>
      <c r="G685" s="314"/>
      <c r="I685" s="120"/>
      <c r="P685" s="122"/>
      <c r="Q685" s="122"/>
    </row>
    <row r="686" spans="6:17" ht="14.25" customHeight="1" x14ac:dyDescent="0.3">
      <c r="F686" s="314"/>
      <c r="G686" s="314"/>
      <c r="I686" s="120"/>
      <c r="P686" s="122"/>
      <c r="Q686" s="122"/>
    </row>
    <row r="687" spans="6:17" ht="14.25" customHeight="1" x14ac:dyDescent="0.3">
      <c r="F687" s="314"/>
      <c r="G687" s="314"/>
      <c r="I687" s="120"/>
      <c r="P687" s="122"/>
      <c r="Q687" s="122"/>
    </row>
    <row r="688" spans="6:17" ht="14.25" customHeight="1" x14ac:dyDescent="0.3">
      <c r="F688" s="314"/>
      <c r="G688" s="314"/>
      <c r="I688" s="120"/>
      <c r="P688" s="122"/>
      <c r="Q688" s="122"/>
    </row>
    <row r="689" spans="6:17" ht="14.25" customHeight="1" x14ac:dyDescent="0.3">
      <c r="F689" s="314"/>
      <c r="G689" s="314"/>
      <c r="I689" s="120"/>
      <c r="P689" s="122"/>
      <c r="Q689" s="122"/>
    </row>
    <row r="690" spans="6:17" ht="14.25" customHeight="1" x14ac:dyDescent="0.3">
      <c r="F690" s="314"/>
      <c r="G690" s="314"/>
      <c r="I690" s="120"/>
      <c r="P690" s="122"/>
      <c r="Q690" s="122"/>
    </row>
    <row r="691" spans="6:17" ht="14.25" customHeight="1" x14ac:dyDescent="0.3">
      <c r="F691" s="314"/>
      <c r="G691" s="314"/>
      <c r="I691" s="120"/>
      <c r="P691" s="122"/>
      <c r="Q691" s="122"/>
    </row>
    <row r="692" spans="6:17" ht="14.25" customHeight="1" x14ac:dyDescent="0.3">
      <c r="F692" s="314"/>
      <c r="G692" s="314"/>
      <c r="I692" s="120"/>
      <c r="P692" s="122"/>
      <c r="Q692" s="122"/>
    </row>
    <row r="693" spans="6:17" ht="14.25" customHeight="1" x14ac:dyDescent="0.3">
      <c r="F693" s="314"/>
      <c r="G693" s="314"/>
      <c r="I693" s="120"/>
      <c r="P693" s="122"/>
      <c r="Q693" s="122"/>
    </row>
    <row r="694" spans="6:17" ht="14.25" customHeight="1" x14ac:dyDescent="0.3">
      <c r="F694" s="314"/>
      <c r="G694" s="314"/>
      <c r="I694" s="120"/>
      <c r="P694" s="122"/>
      <c r="Q694" s="122"/>
    </row>
    <row r="695" spans="6:17" ht="14.25" customHeight="1" x14ac:dyDescent="0.3">
      <c r="F695" s="314"/>
      <c r="G695" s="314"/>
      <c r="I695" s="120"/>
      <c r="P695" s="122"/>
      <c r="Q695" s="122"/>
    </row>
    <row r="696" spans="6:17" ht="14.25" customHeight="1" x14ac:dyDescent="0.3">
      <c r="F696" s="314"/>
      <c r="G696" s="314"/>
      <c r="I696" s="120"/>
      <c r="P696" s="122"/>
      <c r="Q696" s="122"/>
    </row>
    <row r="697" spans="6:17" ht="14.25" customHeight="1" x14ac:dyDescent="0.3">
      <c r="F697" s="314"/>
      <c r="G697" s="314"/>
      <c r="I697" s="120"/>
      <c r="P697" s="122"/>
      <c r="Q697" s="122"/>
    </row>
    <row r="698" spans="6:17" ht="14.25" customHeight="1" x14ac:dyDescent="0.3">
      <c r="F698" s="314"/>
      <c r="G698" s="314"/>
      <c r="I698" s="120"/>
      <c r="P698" s="122"/>
      <c r="Q698" s="122"/>
    </row>
    <row r="699" spans="6:17" ht="14.25" customHeight="1" x14ac:dyDescent="0.3">
      <c r="F699" s="314"/>
      <c r="G699" s="314"/>
      <c r="I699" s="120"/>
      <c r="P699" s="122"/>
      <c r="Q699" s="122"/>
    </row>
    <row r="700" spans="6:17" ht="14.25" customHeight="1" x14ac:dyDescent="0.3">
      <c r="F700" s="314"/>
      <c r="G700" s="314"/>
      <c r="I700" s="120"/>
      <c r="P700" s="122"/>
      <c r="Q700" s="122"/>
    </row>
    <row r="701" spans="6:17" ht="14.25" customHeight="1" x14ac:dyDescent="0.3">
      <c r="F701" s="314"/>
      <c r="G701" s="314"/>
      <c r="I701" s="120"/>
      <c r="P701" s="122"/>
      <c r="Q701" s="122"/>
    </row>
    <row r="702" spans="6:17" ht="14.25" customHeight="1" x14ac:dyDescent="0.3">
      <c r="F702" s="314"/>
      <c r="G702" s="314"/>
      <c r="I702" s="120"/>
      <c r="P702" s="122"/>
      <c r="Q702" s="122"/>
    </row>
    <row r="703" spans="6:17" ht="14.25" customHeight="1" x14ac:dyDescent="0.3">
      <c r="F703" s="314"/>
      <c r="G703" s="314"/>
      <c r="I703" s="120"/>
      <c r="P703" s="122"/>
      <c r="Q703" s="122"/>
    </row>
    <row r="704" spans="6:17" ht="14.25" customHeight="1" x14ac:dyDescent="0.3">
      <c r="F704" s="314"/>
      <c r="G704" s="314"/>
      <c r="I704" s="120"/>
      <c r="P704" s="122"/>
      <c r="Q704" s="122"/>
    </row>
    <row r="705" spans="6:17" ht="14.25" customHeight="1" x14ac:dyDescent="0.3">
      <c r="F705" s="314"/>
      <c r="G705" s="314"/>
      <c r="I705" s="120"/>
      <c r="P705" s="122"/>
      <c r="Q705" s="122"/>
    </row>
    <row r="706" spans="6:17" ht="14.25" customHeight="1" x14ac:dyDescent="0.3">
      <c r="F706" s="314"/>
      <c r="G706" s="314"/>
      <c r="I706" s="120"/>
      <c r="P706" s="122"/>
      <c r="Q706" s="122"/>
    </row>
    <row r="707" spans="6:17" ht="14.25" customHeight="1" x14ac:dyDescent="0.3">
      <c r="F707" s="314"/>
      <c r="G707" s="314"/>
      <c r="I707" s="120"/>
      <c r="P707" s="122"/>
      <c r="Q707" s="122"/>
    </row>
    <row r="708" spans="6:17" ht="14.25" customHeight="1" x14ac:dyDescent="0.3">
      <c r="F708" s="314"/>
      <c r="G708" s="314"/>
      <c r="I708" s="120"/>
      <c r="P708" s="122"/>
      <c r="Q708" s="122"/>
    </row>
    <row r="709" spans="6:17" ht="14.25" customHeight="1" x14ac:dyDescent="0.3">
      <c r="F709" s="314"/>
      <c r="G709" s="314"/>
      <c r="I709" s="120"/>
      <c r="P709" s="122"/>
      <c r="Q709" s="122"/>
    </row>
    <row r="710" spans="6:17" ht="14.25" customHeight="1" x14ac:dyDescent="0.3">
      <c r="F710" s="314"/>
      <c r="G710" s="314"/>
      <c r="I710" s="120"/>
      <c r="P710" s="122"/>
      <c r="Q710" s="122"/>
    </row>
    <row r="711" spans="6:17" ht="14.25" customHeight="1" x14ac:dyDescent="0.3">
      <c r="F711" s="314"/>
      <c r="G711" s="314"/>
      <c r="I711" s="120"/>
      <c r="P711" s="122"/>
      <c r="Q711" s="122"/>
    </row>
    <row r="712" spans="6:17" ht="14.25" customHeight="1" x14ac:dyDescent="0.3">
      <c r="F712" s="314"/>
      <c r="G712" s="314"/>
      <c r="I712" s="120"/>
      <c r="P712" s="122"/>
      <c r="Q712" s="122"/>
    </row>
    <row r="713" spans="6:17" ht="14.25" customHeight="1" x14ac:dyDescent="0.3">
      <c r="F713" s="314"/>
      <c r="G713" s="314"/>
      <c r="I713" s="120"/>
      <c r="P713" s="122"/>
      <c r="Q713" s="122"/>
    </row>
    <row r="714" spans="6:17" ht="14.25" customHeight="1" x14ac:dyDescent="0.3">
      <c r="F714" s="314"/>
      <c r="G714" s="314"/>
      <c r="I714" s="120"/>
      <c r="P714" s="122"/>
      <c r="Q714" s="122"/>
    </row>
    <row r="715" spans="6:17" ht="14.25" customHeight="1" x14ac:dyDescent="0.3">
      <c r="F715" s="314"/>
      <c r="G715" s="314"/>
      <c r="I715" s="120"/>
      <c r="P715" s="122"/>
      <c r="Q715" s="122"/>
    </row>
    <row r="716" spans="6:17" ht="14.25" customHeight="1" x14ac:dyDescent="0.3">
      <c r="F716" s="314"/>
      <c r="G716" s="314"/>
      <c r="I716" s="120"/>
      <c r="P716" s="122"/>
      <c r="Q716" s="122"/>
    </row>
    <row r="717" spans="6:17" ht="14.25" customHeight="1" x14ac:dyDescent="0.3">
      <c r="F717" s="314"/>
      <c r="G717" s="314"/>
      <c r="I717" s="120"/>
      <c r="P717" s="122"/>
      <c r="Q717" s="122"/>
    </row>
    <row r="718" spans="6:17" ht="14.25" customHeight="1" x14ac:dyDescent="0.3">
      <c r="F718" s="314"/>
      <c r="G718" s="314"/>
      <c r="I718" s="120"/>
      <c r="P718" s="122"/>
      <c r="Q718" s="122"/>
    </row>
    <row r="719" spans="6:17" ht="14.25" customHeight="1" x14ac:dyDescent="0.3">
      <c r="F719" s="314"/>
      <c r="G719" s="314"/>
      <c r="I719" s="120"/>
      <c r="P719" s="122"/>
      <c r="Q719" s="122"/>
    </row>
    <row r="720" spans="6:17" ht="14.25" customHeight="1" x14ac:dyDescent="0.3">
      <c r="F720" s="314"/>
      <c r="G720" s="314"/>
      <c r="I720" s="120"/>
      <c r="P720" s="122"/>
      <c r="Q720" s="122"/>
    </row>
    <row r="721" spans="6:17" ht="14.25" customHeight="1" x14ac:dyDescent="0.3">
      <c r="F721" s="314"/>
      <c r="G721" s="314"/>
      <c r="I721" s="120"/>
      <c r="P721" s="122"/>
      <c r="Q721" s="122"/>
    </row>
    <row r="722" spans="6:17" ht="14.25" customHeight="1" x14ac:dyDescent="0.3">
      <c r="F722" s="314"/>
      <c r="G722" s="314"/>
      <c r="I722" s="120"/>
      <c r="P722" s="122"/>
      <c r="Q722" s="122"/>
    </row>
    <row r="723" spans="6:17" ht="14.25" customHeight="1" x14ac:dyDescent="0.3">
      <c r="F723" s="314"/>
      <c r="G723" s="314"/>
      <c r="I723" s="120"/>
      <c r="P723" s="122"/>
      <c r="Q723" s="122"/>
    </row>
    <row r="724" spans="6:17" ht="14.25" customHeight="1" x14ac:dyDescent="0.3">
      <c r="F724" s="314"/>
      <c r="G724" s="314"/>
      <c r="I724" s="120"/>
      <c r="P724" s="122"/>
      <c r="Q724" s="122"/>
    </row>
    <row r="725" spans="6:17" ht="14.25" customHeight="1" x14ac:dyDescent="0.3">
      <c r="F725" s="314"/>
      <c r="G725" s="314"/>
      <c r="I725" s="120"/>
      <c r="P725" s="122"/>
      <c r="Q725" s="122"/>
    </row>
    <row r="726" spans="6:17" ht="14.25" customHeight="1" x14ac:dyDescent="0.3">
      <c r="F726" s="314"/>
      <c r="G726" s="314"/>
      <c r="I726" s="120"/>
      <c r="P726" s="122"/>
      <c r="Q726" s="122"/>
    </row>
    <row r="727" spans="6:17" ht="14.25" customHeight="1" x14ac:dyDescent="0.3">
      <c r="F727" s="314"/>
      <c r="G727" s="314"/>
      <c r="I727" s="120"/>
      <c r="P727" s="122"/>
      <c r="Q727" s="122"/>
    </row>
    <row r="728" spans="6:17" ht="14.25" customHeight="1" x14ac:dyDescent="0.3">
      <c r="F728" s="314"/>
      <c r="G728" s="314"/>
      <c r="I728" s="120"/>
      <c r="P728" s="122"/>
      <c r="Q728" s="122"/>
    </row>
    <row r="729" spans="6:17" ht="14.25" customHeight="1" x14ac:dyDescent="0.3">
      <c r="F729" s="314"/>
      <c r="G729" s="314"/>
      <c r="I729" s="120"/>
      <c r="P729" s="122"/>
      <c r="Q729" s="122"/>
    </row>
    <row r="730" spans="6:17" ht="14.25" customHeight="1" x14ac:dyDescent="0.3">
      <c r="F730" s="314"/>
      <c r="G730" s="314"/>
      <c r="I730" s="120"/>
      <c r="P730" s="122"/>
      <c r="Q730" s="122"/>
    </row>
    <row r="731" spans="6:17" ht="14.25" customHeight="1" x14ac:dyDescent="0.3">
      <c r="F731" s="314"/>
      <c r="G731" s="314"/>
      <c r="I731" s="120"/>
      <c r="P731" s="122"/>
      <c r="Q731" s="122"/>
    </row>
    <row r="732" spans="6:17" ht="14.25" customHeight="1" x14ac:dyDescent="0.3">
      <c r="F732" s="314"/>
      <c r="G732" s="314"/>
      <c r="I732" s="120"/>
      <c r="P732" s="122"/>
      <c r="Q732" s="122"/>
    </row>
    <row r="733" spans="6:17" ht="14.25" customHeight="1" x14ac:dyDescent="0.3">
      <c r="F733" s="314"/>
      <c r="G733" s="314"/>
      <c r="I733" s="120"/>
      <c r="P733" s="122"/>
      <c r="Q733" s="122"/>
    </row>
    <row r="734" spans="6:17" ht="14.25" customHeight="1" x14ac:dyDescent="0.3">
      <c r="F734" s="314"/>
      <c r="G734" s="314"/>
      <c r="I734" s="120"/>
      <c r="P734" s="122"/>
      <c r="Q734" s="122"/>
    </row>
    <row r="735" spans="6:17" ht="14.25" customHeight="1" x14ac:dyDescent="0.3">
      <c r="F735" s="314"/>
      <c r="G735" s="314"/>
      <c r="I735" s="120"/>
      <c r="P735" s="122"/>
      <c r="Q735" s="122"/>
    </row>
    <row r="736" spans="6:17" ht="14.25" customHeight="1" x14ac:dyDescent="0.3">
      <c r="F736" s="314"/>
      <c r="G736" s="314"/>
      <c r="I736" s="120"/>
      <c r="P736" s="122"/>
      <c r="Q736" s="122"/>
    </row>
    <row r="737" spans="6:17" ht="14.25" customHeight="1" x14ac:dyDescent="0.3">
      <c r="F737" s="314"/>
      <c r="G737" s="314"/>
      <c r="I737" s="120"/>
      <c r="P737" s="122"/>
      <c r="Q737" s="122"/>
    </row>
    <row r="738" spans="6:17" ht="14.25" customHeight="1" x14ac:dyDescent="0.3">
      <c r="F738" s="314"/>
      <c r="G738" s="314"/>
      <c r="I738" s="120"/>
      <c r="P738" s="122"/>
      <c r="Q738" s="122"/>
    </row>
    <row r="739" spans="6:17" ht="14.25" customHeight="1" x14ac:dyDescent="0.3">
      <c r="F739" s="314"/>
      <c r="G739" s="314"/>
      <c r="I739" s="120"/>
      <c r="P739" s="122"/>
      <c r="Q739" s="122"/>
    </row>
    <row r="740" spans="6:17" ht="14.25" customHeight="1" x14ac:dyDescent="0.3">
      <c r="F740" s="314"/>
      <c r="G740" s="314"/>
      <c r="I740" s="120"/>
      <c r="P740" s="122"/>
      <c r="Q740" s="122"/>
    </row>
    <row r="741" spans="6:17" ht="14.25" customHeight="1" x14ac:dyDescent="0.3">
      <c r="F741" s="314"/>
      <c r="G741" s="314"/>
      <c r="I741" s="120"/>
      <c r="P741" s="122"/>
      <c r="Q741" s="122"/>
    </row>
    <row r="742" spans="6:17" ht="14.25" customHeight="1" x14ac:dyDescent="0.3">
      <c r="F742" s="314"/>
      <c r="G742" s="314"/>
      <c r="I742" s="120"/>
      <c r="P742" s="122"/>
      <c r="Q742" s="122"/>
    </row>
    <row r="743" spans="6:17" ht="14.25" customHeight="1" x14ac:dyDescent="0.3">
      <c r="F743" s="314"/>
      <c r="G743" s="314"/>
      <c r="I743" s="120"/>
      <c r="P743" s="122"/>
      <c r="Q743" s="122"/>
    </row>
    <row r="744" spans="6:17" ht="14.25" customHeight="1" x14ac:dyDescent="0.3">
      <c r="F744" s="314"/>
      <c r="G744" s="314"/>
      <c r="I744" s="120"/>
      <c r="P744" s="122"/>
      <c r="Q744" s="122"/>
    </row>
    <row r="745" spans="6:17" ht="14.25" customHeight="1" x14ac:dyDescent="0.3">
      <c r="F745" s="314"/>
      <c r="G745" s="314"/>
      <c r="I745" s="120"/>
      <c r="P745" s="122"/>
      <c r="Q745" s="122"/>
    </row>
    <row r="746" spans="6:17" ht="14.25" customHeight="1" x14ac:dyDescent="0.3">
      <c r="F746" s="314"/>
      <c r="G746" s="314"/>
      <c r="I746" s="120"/>
      <c r="P746" s="122"/>
      <c r="Q746" s="122"/>
    </row>
    <row r="747" spans="6:17" ht="14.25" customHeight="1" x14ac:dyDescent="0.3">
      <c r="F747" s="314"/>
      <c r="G747" s="314"/>
      <c r="I747" s="120"/>
      <c r="P747" s="122"/>
      <c r="Q747" s="122"/>
    </row>
    <row r="748" spans="6:17" ht="14.25" customHeight="1" x14ac:dyDescent="0.3">
      <c r="F748" s="314"/>
      <c r="G748" s="314"/>
      <c r="I748" s="120"/>
      <c r="P748" s="122"/>
      <c r="Q748" s="122"/>
    </row>
    <row r="749" spans="6:17" ht="14.25" customHeight="1" x14ac:dyDescent="0.3">
      <c r="F749" s="314"/>
      <c r="G749" s="314"/>
      <c r="I749" s="120"/>
      <c r="P749" s="122"/>
      <c r="Q749" s="122"/>
    </row>
    <row r="750" spans="6:17" ht="14.25" customHeight="1" x14ac:dyDescent="0.3">
      <c r="F750" s="314"/>
      <c r="G750" s="314"/>
      <c r="I750" s="120"/>
      <c r="P750" s="122"/>
      <c r="Q750" s="122"/>
    </row>
    <row r="751" spans="6:17" ht="14.25" customHeight="1" x14ac:dyDescent="0.3">
      <c r="F751" s="314"/>
      <c r="G751" s="314"/>
      <c r="I751" s="120"/>
      <c r="P751" s="122"/>
      <c r="Q751" s="122"/>
    </row>
    <row r="752" spans="6:17" ht="14.25" customHeight="1" x14ac:dyDescent="0.3">
      <c r="F752" s="314"/>
      <c r="G752" s="314"/>
      <c r="I752" s="120"/>
      <c r="P752" s="122"/>
      <c r="Q752" s="122"/>
    </row>
    <row r="753" spans="6:17" ht="14.25" customHeight="1" x14ac:dyDescent="0.3">
      <c r="F753" s="314"/>
      <c r="G753" s="314"/>
      <c r="I753" s="120"/>
      <c r="P753" s="122"/>
      <c r="Q753" s="122"/>
    </row>
    <row r="754" spans="6:17" ht="14.25" customHeight="1" x14ac:dyDescent="0.3">
      <c r="F754" s="314"/>
      <c r="G754" s="314"/>
      <c r="I754" s="120"/>
      <c r="P754" s="122"/>
      <c r="Q754" s="122"/>
    </row>
    <row r="755" spans="6:17" ht="14.25" customHeight="1" x14ac:dyDescent="0.3">
      <c r="F755" s="314"/>
      <c r="G755" s="314"/>
      <c r="I755" s="120"/>
      <c r="P755" s="122"/>
      <c r="Q755" s="122"/>
    </row>
    <row r="756" spans="6:17" ht="14.25" customHeight="1" x14ac:dyDescent="0.3">
      <c r="F756" s="314"/>
      <c r="G756" s="314"/>
      <c r="I756" s="120"/>
      <c r="P756" s="122"/>
      <c r="Q756" s="122"/>
    </row>
    <row r="757" spans="6:17" ht="14.25" customHeight="1" x14ac:dyDescent="0.3">
      <c r="F757" s="314"/>
      <c r="G757" s="314"/>
      <c r="I757" s="120"/>
      <c r="P757" s="122"/>
      <c r="Q757" s="122"/>
    </row>
    <row r="758" spans="6:17" ht="14.25" customHeight="1" x14ac:dyDescent="0.3">
      <c r="F758" s="314"/>
      <c r="G758" s="314"/>
      <c r="I758" s="120"/>
      <c r="P758" s="122"/>
      <c r="Q758" s="122"/>
    </row>
    <row r="759" spans="6:17" ht="14.25" customHeight="1" x14ac:dyDescent="0.3">
      <c r="F759" s="314"/>
      <c r="G759" s="314"/>
      <c r="I759" s="120"/>
      <c r="P759" s="122"/>
      <c r="Q759" s="122"/>
    </row>
    <row r="760" spans="6:17" ht="14.25" customHeight="1" x14ac:dyDescent="0.3">
      <c r="F760" s="314"/>
      <c r="G760" s="314"/>
      <c r="I760" s="120"/>
      <c r="P760" s="122"/>
      <c r="Q760" s="122"/>
    </row>
    <row r="761" spans="6:17" ht="14.25" customHeight="1" x14ac:dyDescent="0.3">
      <c r="F761" s="314"/>
      <c r="G761" s="314"/>
      <c r="I761" s="120"/>
      <c r="P761" s="122"/>
      <c r="Q761" s="122"/>
    </row>
    <row r="762" spans="6:17" ht="14.25" customHeight="1" x14ac:dyDescent="0.3">
      <c r="F762" s="314"/>
      <c r="G762" s="314"/>
      <c r="I762" s="120"/>
      <c r="P762" s="122"/>
      <c r="Q762" s="122"/>
    </row>
    <row r="763" spans="6:17" ht="14.25" customHeight="1" x14ac:dyDescent="0.3">
      <c r="F763" s="314"/>
      <c r="G763" s="314"/>
      <c r="I763" s="120"/>
      <c r="P763" s="122"/>
      <c r="Q763" s="122"/>
    </row>
    <row r="764" spans="6:17" ht="14.25" customHeight="1" x14ac:dyDescent="0.3">
      <c r="F764" s="314"/>
      <c r="G764" s="314"/>
      <c r="I764" s="120"/>
      <c r="P764" s="122"/>
      <c r="Q764" s="122"/>
    </row>
    <row r="765" spans="6:17" ht="14.25" customHeight="1" x14ac:dyDescent="0.3">
      <c r="F765" s="314"/>
      <c r="G765" s="314"/>
      <c r="I765" s="120"/>
      <c r="P765" s="122"/>
      <c r="Q765" s="122"/>
    </row>
    <row r="766" spans="6:17" ht="14.25" customHeight="1" x14ac:dyDescent="0.3">
      <c r="F766" s="314"/>
      <c r="G766" s="314"/>
      <c r="I766" s="120"/>
      <c r="P766" s="122"/>
      <c r="Q766" s="122"/>
    </row>
    <row r="767" spans="6:17" ht="14.25" customHeight="1" x14ac:dyDescent="0.3">
      <c r="F767" s="314"/>
      <c r="G767" s="314"/>
      <c r="I767" s="120"/>
      <c r="P767" s="122"/>
      <c r="Q767" s="122"/>
    </row>
    <row r="768" spans="6:17" ht="14.25" customHeight="1" x14ac:dyDescent="0.3">
      <c r="F768" s="314"/>
      <c r="G768" s="314"/>
      <c r="I768" s="120"/>
      <c r="P768" s="122"/>
      <c r="Q768" s="122"/>
    </row>
    <row r="769" spans="6:17" ht="14.25" customHeight="1" x14ac:dyDescent="0.3">
      <c r="F769" s="314"/>
      <c r="G769" s="314"/>
      <c r="I769" s="120"/>
      <c r="P769" s="122"/>
      <c r="Q769" s="122"/>
    </row>
    <row r="770" spans="6:17" ht="14.25" customHeight="1" x14ac:dyDescent="0.3">
      <c r="F770" s="314"/>
      <c r="G770" s="314"/>
      <c r="I770" s="120"/>
      <c r="P770" s="122"/>
      <c r="Q770" s="122"/>
    </row>
    <row r="771" spans="6:17" ht="14.25" customHeight="1" x14ac:dyDescent="0.3">
      <c r="F771" s="314"/>
      <c r="G771" s="314"/>
      <c r="I771" s="120"/>
      <c r="P771" s="122"/>
      <c r="Q771" s="122"/>
    </row>
    <row r="772" spans="6:17" ht="14.25" customHeight="1" x14ac:dyDescent="0.3">
      <c r="F772" s="314"/>
      <c r="G772" s="314"/>
      <c r="I772" s="120"/>
      <c r="P772" s="122"/>
      <c r="Q772" s="122"/>
    </row>
    <row r="773" spans="6:17" ht="14.25" customHeight="1" x14ac:dyDescent="0.3">
      <c r="F773" s="314"/>
      <c r="G773" s="314"/>
      <c r="I773" s="120"/>
      <c r="P773" s="122"/>
      <c r="Q773" s="122"/>
    </row>
    <row r="774" spans="6:17" ht="14.25" customHeight="1" x14ac:dyDescent="0.3">
      <c r="F774" s="314"/>
      <c r="G774" s="314"/>
      <c r="I774" s="120"/>
      <c r="P774" s="122"/>
      <c r="Q774" s="122"/>
    </row>
    <row r="775" spans="6:17" ht="14.25" customHeight="1" x14ac:dyDescent="0.3">
      <c r="F775" s="314"/>
      <c r="G775" s="314"/>
      <c r="I775" s="120"/>
      <c r="P775" s="122"/>
      <c r="Q775" s="122"/>
    </row>
    <row r="776" spans="6:17" ht="14.25" customHeight="1" x14ac:dyDescent="0.3">
      <c r="F776" s="314"/>
      <c r="G776" s="314"/>
      <c r="I776" s="120"/>
      <c r="P776" s="122"/>
      <c r="Q776" s="122"/>
    </row>
    <row r="777" spans="6:17" ht="14.25" customHeight="1" x14ac:dyDescent="0.3">
      <c r="F777" s="314"/>
      <c r="G777" s="314"/>
      <c r="I777" s="120"/>
      <c r="P777" s="122"/>
      <c r="Q777" s="122"/>
    </row>
    <row r="778" spans="6:17" ht="14.25" customHeight="1" x14ac:dyDescent="0.3">
      <c r="F778" s="314"/>
      <c r="G778" s="314"/>
      <c r="I778" s="120"/>
      <c r="P778" s="122"/>
      <c r="Q778" s="122"/>
    </row>
    <row r="779" spans="6:17" ht="14.25" customHeight="1" x14ac:dyDescent="0.3">
      <c r="F779" s="314"/>
      <c r="G779" s="314"/>
      <c r="I779" s="120"/>
      <c r="P779" s="122"/>
      <c r="Q779" s="122"/>
    </row>
    <row r="780" spans="6:17" ht="14.25" customHeight="1" x14ac:dyDescent="0.3">
      <c r="F780" s="314"/>
      <c r="G780" s="314"/>
      <c r="I780" s="120"/>
      <c r="P780" s="122"/>
      <c r="Q780" s="122"/>
    </row>
    <row r="781" spans="6:17" ht="14.25" customHeight="1" x14ac:dyDescent="0.3">
      <c r="F781" s="314"/>
      <c r="G781" s="314"/>
      <c r="I781" s="120"/>
      <c r="P781" s="122"/>
      <c r="Q781" s="122"/>
    </row>
    <row r="782" spans="6:17" ht="14.25" customHeight="1" x14ac:dyDescent="0.3">
      <c r="F782" s="314"/>
      <c r="G782" s="314"/>
      <c r="I782" s="120"/>
      <c r="P782" s="122"/>
      <c r="Q782" s="122"/>
    </row>
    <row r="783" spans="6:17" ht="14.25" customHeight="1" x14ac:dyDescent="0.3">
      <c r="F783" s="314"/>
      <c r="G783" s="314"/>
      <c r="I783" s="120"/>
      <c r="P783" s="122"/>
      <c r="Q783" s="122"/>
    </row>
    <row r="784" spans="6:17" ht="14.25" customHeight="1" x14ac:dyDescent="0.3">
      <c r="F784" s="314"/>
      <c r="G784" s="314"/>
      <c r="I784" s="120"/>
      <c r="P784" s="122"/>
      <c r="Q784" s="122"/>
    </row>
    <row r="785" spans="6:17" ht="14.25" customHeight="1" x14ac:dyDescent="0.3">
      <c r="F785" s="314"/>
      <c r="G785" s="314"/>
      <c r="I785" s="120"/>
      <c r="P785" s="122"/>
      <c r="Q785" s="122"/>
    </row>
    <row r="786" spans="6:17" ht="14.25" customHeight="1" x14ac:dyDescent="0.3">
      <c r="F786" s="314"/>
      <c r="G786" s="314"/>
      <c r="I786" s="120"/>
      <c r="P786" s="122"/>
      <c r="Q786" s="122"/>
    </row>
    <row r="787" spans="6:17" ht="14.25" customHeight="1" x14ac:dyDescent="0.3">
      <c r="F787" s="314"/>
      <c r="G787" s="314"/>
      <c r="I787" s="120"/>
      <c r="P787" s="122"/>
      <c r="Q787" s="122"/>
    </row>
    <row r="788" spans="6:17" ht="14.25" customHeight="1" x14ac:dyDescent="0.3">
      <c r="F788" s="314"/>
      <c r="G788" s="314"/>
      <c r="I788" s="120"/>
      <c r="P788" s="122"/>
      <c r="Q788" s="122"/>
    </row>
    <row r="789" spans="6:17" ht="14.25" customHeight="1" x14ac:dyDescent="0.3">
      <c r="F789" s="314"/>
      <c r="G789" s="314"/>
      <c r="I789" s="120"/>
      <c r="P789" s="122"/>
      <c r="Q789" s="122"/>
    </row>
    <row r="790" spans="6:17" ht="14.25" customHeight="1" x14ac:dyDescent="0.3">
      <c r="F790" s="314"/>
      <c r="G790" s="314"/>
      <c r="I790" s="120"/>
      <c r="P790" s="122"/>
      <c r="Q790" s="122"/>
    </row>
    <row r="791" spans="6:17" ht="14.25" customHeight="1" x14ac:dyDescent="0.3">
      <c r="F791" s="314"/>
      <c r="G791" s="314"/>
      <c r="I791" s="120"/>
      <c r="P791" s="122"/>
      <c r="Q791" s="122"/>
    </row>
    <row r="792" spans="6:17" ht="14.25" customHeight="1" x14ac:dyDescent="0.3">
      <c r="F792" s="314"/>
      <c r="G792" s="314"/>
      <c r="I792" s="120"/>
      <c r="P792" s="122"/>
      <c r="Q792" s="122"/>
    </row>
    <row r="793" spans="6:17" ht="14.25" customHeight="1" x14ac:dyDescent="0.3">
      <c r="F793" s="314"/>
      <c r="G793" s="314"/>
      <c r="I793" s="120"/>
      <c r="P793" s="122"/>
      <c r="Q793" s="122"/>
    </row>
    <row r="794" spans="6:17" ht="14.25" customHeight="1" x14ac:dyDescent="0.3">
      <c r="F794" s="314"/>
      <c r="G794" s="314"/>
      <c r="I794" s="120"/>
      <c r="P794" s="122"/>
      <c r="Q794" s="122"/>
    </row>
    <row r="795" spans="6:17" ht="14.25" customHeight="1" x14ac:dyDescent="0.3">
      <c r="F795" s="314"/>
      <c r="G795" s="314"/>
      <c r="I795" s="120"/>
      <c r="P795" s="122"/>
      <c r="Q795" s="122"/>
    </row>
    <row r="796" spans="6:17" ht="14.25" customHeight="1" x14ac:dyDescent="0.3">
      <c r="F796" s="314"/>
      <c r="G796" s="314"/>
      <c r="I796" s="120"/>
      <c r="P796" s="122"/>
      <c r="Q796" s="122"/>
    </row>
    <row r="797" spans="6:17" ht="14.25" customHeight="1" x14ac:dyDescent="0.3">
      <c r="F797" s="314"/>
      <c r="G797" s="314"/>
      <c r="I797" s="120"/>
      <c r="P797" s="122"/>
      <c r="Q797" s="122"/>
    </row>
    <row r="798" spans="6:17" ht="14.25" customHeight="1" x14ac:dyDescent="0.3">
      <c r="F798" s="314"/>
      <c r="G798" s="314"/>
      <c r="I798" s="120"/>
      <c r="P798" s="122"/>
      <c r="Q798" s="122"/>
    </row>
    <row r="799" spans="6:17" ht="14.25" customHeight="1" x14ac:dyDescent="0.3">
      <c r="F799" s="314"/>
      <c r="G799" s="314"/>
      <c r="I799" s="120"/>
      <c r="P799" s="122"/>
      <c r="Q799" s="122"/>
    </row>
    <row r="800" spans="6:17" ht="14.25" customHeight="1" x14ac:dyDescent="0.3">
      <c r="F800" s="314"/>
      <c r="G800" s="314"/>
      <c r="I800" s="120"/>
      <c r="P800" s="122"/>
      <c r="Q800" s="122"/>
    </row>
    <row r="801" spans="6:17" ht="14.25" customHeight="1" x14ac:dyDescent="0.3">
      <c r="F801" s="314"/>
      <c r="G801" s="314"/>
      <c r="I801" s="120"/>
      <c r="P801" s="122"/>
      <c r="Q801" s="122"/>
    </row>
    <row r="802" spans="6:17" ht="14.25" customHeight="1" x14ac:dyDescent="0.3">
      <c r="F802" s="314"/>
      <c r="G802" s="314"/>
      <c r="I802" s="120"/>
      <c r="P802" s="122"/>
      <c r="Q802" s="122"/>
    </row>
    <row r="803" spans="6:17" ht="14.25" customHeight="1" x14ac:dyDescent="0.3">
      <c r="F803" s="314"/>
      <c r="G803" s="314"/>
      <c r="I803" s="120"/>
      <c r="P803" s="122"/>
      <c r="Q803" s="122"/>
    </row>
    <row r="804" spans="6:17" ht="14.25" customHeight="1" x14ac:dyDescent="0.3">
      <c r="F804" s="314"/>
      <c r="G804" s="314"/>
      <c r="I804" s="120"/>
      <c r="P804" s="122"/>
      <c r="Q804" s="122"/>
    </row>
    <row r="805" spans="6:17" ht="14.25" customHeight="1" x14ac:dyDescent="0.3">
      <c r="F805" s="314"/>
      <c r="G805" s="314"/>
      <c r="I805" s="120"/>
      <c r="P805" s="122"/>
      <c r="Q805" s="122"/>
    </row>
    <row r="806" spans="6:17" ht="14.25" customHeight="1" x14ac:dyDescent="0.3">
      <c r="F806" s="314"/>
      <c r="G806" s="314"/>
      <c r="I806" s="120"/>
      <c r="P806" s="122"/>
      <c r="Q806" s="122"/>
    </row>
    <row r="807" spans="6:17" ht="14.25" customHeight="1" x14ac:dyDescent="0.3">
      <c r="F807" s="314"/>
      <c r="G807" s="314"/>
      <c r="I807" s="120"/>
      <c r="P807" s="122"/>
      <c r="Q807" s="122"/>
    </row>
    <row r="808" spans="6:17" ht="14.25" customHeight="1" x14ac:dyDescent="0.3">
      <c r="F808" s="314"/>
      <c r="G808" s="314"/>
      <c r="I808" s="120"/>
      <c r="P808" s="122"/>
      <c r="Q808" s="122"/>
    </row>
    <row r="809" spans="6:17" ht="14.25" customHeight="1" x14ac:dyDescent="0.3">
      <c r="F809" s="314"/>
      <c r="G809" s="314"/>
      <c r="I809" s="120"/>
      <c r="P809" s="122"/>
      <c r="Q809" s="122"/>
    </row>
    <row r="810" spans="6:17" ht="14.25" customHeight="1" x14ac:dyDescent="0.3">
      <c r="F810" s="314"/>
      <c r="G810" s="314"/>
      <c r="I810" s="120"/>
      <c r="P810" s="122"/>
      <c r="Q810" s="122"/>
    </row>
    <row r="811" spans="6:17" ht="14.25" customHeight="1" x14ac:dyDescent="0.3">
      <c r="F811" s="314"/>
      <c r="G811" s="314"/>
      <c r="I811" s="120"/>
      <c r="P811" s="122"/>
      <c r="Q811" s="122"/>
    </row>
    <row r="812" spans="6:17" ht="14.25" customHeight="1" x14ac:dyDescent="0.3">
      <c r="F812" s="314"/>
      <c r="G812" s="314"/>
      <c r="I812" s="120"/>
      <c r="P812" s="122"/>
      <c r="Q812" s="122"/>
    </row>
    <row r="813" spans="6:17" ht="14.25" customHeight="1" x14ac:dyDescent="0.3">
      <c r="F813" s="314"/>
      <c r="G813" s="314"/>
      <c r="I813" s="120"/>
      <c r="P813" s="122"/>
      <c r="Q813" s="122"/>
    </row>
    <row r="814" spans="6:17" ht="14.25" customHeight="1" x14ac:dyDescent="0.3">
      <c r="F814" s="314"/>
      <c r="G814" s="314"/>
      <c r="I814" s="120"/>
      <c r="P814" s="122"/>
      <c r="Q814" s="122"/>
    </row>
    <row r="815" spans="6:17" ht="14.25" customHeight="1" x14ac:dyDescent="0.3">
      <c r="F815" s="314"/>
      <c r="G815" s="314"/>
      <c r="I815" s="120"/>
      <c r="P815" s="122"/>
      <c r="Q815" s="122"/>
    </row>
    <row r="816" spans="6:17" ht="14.25" customHeight="1" x14ac:dyDescent="0.3">
      <c r="F816" s="314"/>
      <c r="G816" s="314"/>
      <c r="I816" s="120"/>
      <c r="P816" s="122"/>
      <c r="Q816" s="122"/>
    </row>
    <row r="817" spans="6:17" ht="14.25" customHeight="1" x14ac:dyDescent="0.3">
      <c r="F817" s="314"/>
      <c r="G817" s="314"/>
      <c r="I817" s="120"/>
      <c r="P817" s="122"/>
      <c r="Q817" s="122"/>
    </row>
    <row r="818" spans="6:17" ht="14.25" customHeight="1" x14ac:dyDescent="0.3">
      <c r="F818" s="314"/>
      <c r="G818" s="314"/>
      <c r="I818" s="120"/>
      <c r="P818" s="122"/>
      <c r="Q818" s="122"/>
    </row>
    <row r="819" spans="6:17" ht="14.25" customHeight="1" x14ac:dyDescent="0.3">
      <c r="F819" s="314"/>
      <c r="G819" s="314"/>
      <c r="I819" s="120"/>
      <c r="P819" s="122"/>
      <c r="Q819" s="122"/>
    </row>
    <row r="820" spans="6:17" ht="14.25" customHeight="1" x14ac:dyDescent="0.3">
      <c r="F820" s="314"/>
      <c r="G820" s="314"/>
      <c r="I820" s="120"/>
      <c r="P820" s="122"/>
      <c r="Q820" s="122"/>
    </row>
    <row r="821" spans="6:17" ht="14.25" customHeight="1" x14ac:dyDescent="0.3">
      <c r="F821" s="314"/>
      <c r="G821" s="314"/>
      <c r="I821" s="120"/>
      <c r="P821" s="122"/>
      <c r="Q821" s="122"/>
    </row>
    <row r="822" spans="6:17" ht="14.25" customHeight="1" x14ac:dyDescent="0.3">
      <c r="F822" s="314"/>
      <c r="G822" s="314"/>
      <c r="I822" s="120"/>
      <c r="P822" s="122"/>
      <c r="Q822" s="122"/>
    </row>
    <row r="823" spans="6:17" ht="14.25" customHeight="1" x14ac:dyDescent="0.3">
      <c r="F823" s="314"/>
      <c r="G823" s="314"/>
      <c r="I823" s="120"/>
      <c r="P823" s="122"/>
      <c r="Q823" s="122"/>
    </row>
    <row r="824" spans="6:17" ht="14.25" customHeight="1" x14ac:dyDescent="0.3">
      <c r="F824" s="314"/>
      <c r="G824" s="314"/>
      <c r="I824" s="120"/>
      <c r="P824" s="122"/>
      <c r="Q824" s="122"/>
    </row>
    <row r="825" spans="6:17" ht="14.25" customHeight="1" x14ac:dyDescent="0.3">
      <c r="F825" s="314"/>
      <c r="G825" s="314"/>
      <c r="I825" s="120"/>
      <c r="P825" s="122"/>
      <c r="Q825" s="122"/>
    </row>
    <row r="826" spans="6:17" ht="14.25" customHeight="1" x14ac:dyDescent="0.3">
      <c r="F826" s="314"/>
      <c r="G826" s="314"/>
      <c r="I826" s="120"/>
      <c r="P826" s="122"/>
      <c r="Q826" s="122"/>
    </row>
    <row r="827" spans="6:17" ht="14.25" customHeight="1" x14ac:dyDescent="0.3">
      <c r="F827" s="314"/>
      <c r="G827" s="314"/>
      <c r="I827" s="120"/>
      <c r="P827" s="122"/>
      <c r="Q827" s="122"/>
    </row>
    <row r="828" spans="6:17" ht="14.25" customHeight="1" x14ac:dyDescent="0.3">
      <c r="F828" s="314"/>
      <c r="G828" s="314"/>
      <c r="I828" s="120"/>
      <c r="P828" s="122"/>
      <c r="Q828" s="122"/>
    </row>
    <row r="829" spans="6:17" ht="14.25" customHeight="1" x14ac:dyDescent="0.3">
      <c r="F829" s="314"/>
      <c r="G829" s="314"/>
      <c r="I829" s="120"/>
      <c r="P829" s="122"/>
      <c r="Q829" s="122"/>
    </row>
    <row r="830" spans="6:17" ht="14.25" customHeight="1" x14ac:dyDescent="0.3">
      <c r="F830" s="314"/>
      <c r="G830" s="314"/>
      <c r="I830" s="120"/>
      <c r="P830" s="122"/>
      <c r="Q830" s="122"/>
    </row>
    <row r="831" spans="6:17" ht="14.25" customHeight="1" x14ac:dyDescent="0.3">
      <c r="F831" s="314"/>
      <c r="G831" s="314"/>
      <c r="I831" s="120"/>
      <c r="P831" s="122"/>
      <c r="Q831" s="122"/>
    </row>
    <row r="832" spans="6:17" ht="14.25" customHeight="1" x14ac:dyDescent="0.3">
      <c r="F832" s="314"/>
      <c r="G832" s="314"/>
      <c r="I832" s="120"/>
      <c r="P832" s="122"/>
      <c r="Q832" s="122"/>
    </row>
    <row r="833" spans="6:17" ht="14.25" customHeight="1" x14ac:dyDescent="0.3">
      <c r="F833" s="314"/>
      <c r="G833" s="314"/>
      <c r="I833" s="120"/>
      <c r="P833" s="122"/>
      <c r="Q833" s="122"/>
    </row>
    <row r="834" spans="6:17" ht="14.25" customHeight="1" x14ac:dyDescent="0.3">
      <c r="F834" s="314"/>
      <c r="G834" s="314"/>
      <c r="I834" s="120"/>
      <c r="P834" s="122"/>
      <c r="Q834" s="122"/>
    </row>
    <row r="835" spans="6:17" ht="14.25" customHeight="1" x14ac:dyDescent="0.3">
      <c r="F835" s="314"/>
      <c r="G835" s="314"/>
      <c r="I835" s="120"/>
      <c r="P835" s="122"/>
      <c r="Q835" s="122"/>
    </row>
    <row r="836" spans="6:17" ht="14.25" customHeight="1" x14ac:dyDescent="0.3">
      <c r="F836" s="314"/>
      <c r="G836" s="314"/>
      <c r="I836" s="120"/>
      <c r="P836" s="122"/>
      <c r="Q836" s="122"/>
    </row>
    <row r="837" spans="6:17" ht="14.25" customHeight="1" x14ac:dyDescent="0.3">
      <c r="F837" s="314"/>
      <c r="G837" s="314"/>
      <c r="I837" s="120"/>
      <c r="P837" s="122"/>
      <c r="Q837" s="122"/>
    </row>
    <row r="838" spans="6:17" ht="14.25" customHeight="1" x14ac:dyDescent="0.3">
      <c r="F838" s="314"/>
      <c r="G838" s="314"/>
      <c r="I838" s="120"/>
      <c r="P838" s="122"/>
      <c r="Q838" s="122"/>
    </row>
    <row r="839" spans="6:17" ht="14.25" customHeight="1" x14ac:dyDescent="0.3">
      <c r="F839" s="314"/>
      <c r="G839" s="314"/>
      <c r="I839" s="120"/>
      <c r="P839" s="122"/>
      <c r="Q839" s="122"/>
    </row>
    <row r="840" spans="6:17" ht="14.25" customHeight="1" x14ac:dyDescent="0.3">
      <c r="F840" s="314"/>
      <c r="G840" s="314"/>
      <c r="I840" s="120"/>
      <c r="P840" s="122"/>
      <c r="Q840" s="122"/>
    </row>
    <row r="841" spans="6:17" ht="14.25" customHeight="1" x14ac:dyDescent="0.3">
      <c r="F841" s="314"/>
      <c r="G841" s="314"/>
      <c r="I841" s="120"/>
      <c r="P841" s="122"/>
      <c r="Q841" s="122"/>
    </row>
    <row r="842" spans="6:17" ht="14.25" customHeight="1" x14ac:dyDescent="0.3">
      <c r="F842" s="314"/>
      <c r="G842" s="314"/>
      <c r="I842" s="120"/>
      <c r="P842" s="122"/>
      <c r="Q842" s="122"/>
    </row>
    <row r="843" spans="6:17" ht="14.25" customHeight="1" x14ac:dyDescent="0.3">
      <c r="F843" s="314"/>
      <c r="G843" s="314"/>
      <c r="I843" s="120"/>
      <c r="P843" s="122"/>
      <c r="Q843" s="122"/>
    </row>
    <row r="844" spans="6:17" ht="14.25" customHeight="1" x14ac:dyDescent="0.3">
      <c r="F844" s="314"/>
      <c r="G844" s="314"/>
      <c r="I844" s="120"/>
      <c r="P844" s="122"/>
      <c r="Q844" s="122"/>
    </row>
    <row r="845" spans="6:17" ht="14.25" customHeight="1" x14ac:dyDescent="0.3">
      <c r="F845" s="314"/>
      <c r="G845" s="314"/>
      <c r="I845" s="120"/>
      <c r="P845" s="122"/>
      <c r="Q845" s="122"/>
    </row>
    <row r="846" spans="6:17" ht="14.25" customHeight="1" x14ac:dyDescent="0.3">
      <c r="F846" s="314"/>
      <c r="G846" s="314"/>
      <c r="I846" s="120"/>
      <c r="P846" s="122"/>
      <c r="Q846" s="122"/>
    </row>
    <row r="847" spans="6:17" ht="14.25" customHeight="1" x14ac:dyDescent="0.3">
      <c r="F847" s="314"/>
      <c r="G847" s="314"/>
      <c r="I847" s="120"/>
      <c r="P847" s="122"/>
      <c r="Q847" s="122"/>
    </row>
    <row r="848" spans="6:17" ht="14.25" customHeight="1" x14ac:dyDescent="0.3">
      <c r="F848" s="314"/>
      <c r="G848" s="314"/>
      <c r="I848" s="120"/>
      <c r="P848" s="122"/>
      <c r="Q848" s="122"/>
    </row>
    <row r="849" spans="6:17" ht="14.25" customHeight="1" x14ac:dyDescent="0.3">
      <c r="F849" s="314"/>
      <c r="G849" s="314"/>
      <c r="I849" s="120"/>
      <c r="P849" s="122"/>
      <c r="Q849" s="122"/>
    </row>
    <row r="850" spans="6:17" ht="14.25" customHeight="1" x14ac:dyDescent="0.3">
      <c r="F850" s="314"/>
      <c r="G850" s="314"/>
      <c r="I850" s="120"/>
      <c r="P850" s="122"/>
      <c r="Q850" s="122"/>
    </row>
    <row r="851" spans="6:17" ht="14.25" customHeight="1" x14ac:dyDescent="0.3">
      <c r="F851" s="314"/>
      <c r="G851" s="314"/>
      <c r="I851" s="120"/>
      <c r="P851" s="122"/>
      <c r="Q851" s="122"/>
    </row>
    <row r="852" spans="6:17" ht="14.25" customHeight="1" x14ac:dyDescent="0.3">
      <c r="F852" s="314"/>
      <c r="G852" s="314"/>
      <c r="I852" s="120"/>
      <c r="P852" s="122"/>
      <c r="Q852" s="122"/>
    </row>
    <row r="853" spans="6:17" ht="14.25" customHeight="1" x14ac:dyDescent="0.3">
      <c r="F853" s="314"/>
      <c r="G853" s="314"/>
      <c r="I853" s="120"/>
      <c r="P853" s="122"/>
      <c r="Q853" s="122"/>
    </row>
    <row r="854" spans="6:17" ht="14.25" customHeight="1" x14ac:dyDescent="0.3">
      <c r="F854" s="314"/>
      <c r="G854" s="314"/>
      <c r="I854" s="120"/>
      <c r="P854" s="122"/>
      <c r="Q854" s="122"/>
    </row>
    <row r="855" spans="6:17" ht="14.25" customHeight="1" x14ac:dyDescent="0.3">
      <c r="F855" s="314"/>
      <c r="G855" s="314"/>
      <c r="I855" s="120"/>
      <c r="P855" s="122"/>
      <c r="Q855" s="122"/>
    </row>
    <row r="856" spans="6:17" ht="14.25" customHeight="1" x14ac:dyDescent="0.3">
      <c r="F856" s="314"/>
      <c r="G856" s="314"/>
      <c r="I856" s="120"/>
      <c r="P856" s="122"/>
      <c r="Q856" s="122"/>
    </row>
    <row r="857" spans="6:17" ht="14.25" customHeight="1" x14ac:dyDescent="0.3">
      <c r="F857" s="314"/>
      <c r="G857" s="314"/>
      <c r="I857" s="120"/>
      <c r="P857" s="122"/>
      <c r="Q857" s="122"/>
    </row>
    <row r="858" spans="6:17" ht="14.25" customHeight="1" x14ac:dyDescent="0.3">
      <c r="F858" s="314"/>
      <c r="G858" s="314"/>
      <c r="I858" s="120"/>
      <c r="P858" s="122"/>
      <c r="Q858" s="122"/>
    </row>
    <row r="859" spans="6:17" ht="14.25" customHeight="1" x14ac:dyDescent="0.3">
      <c r="F859" s="314"/>
      <c r="G859" s="314"/>
      <c r="I859" s="120"/>
      <c r="P859" s="122"/>
      <c r="Q859" s="122"/>
    </row>
    <row r="860" spans="6:17" ht="14.25" customHeight="1" x14ac:dyDescent="0.3">
      <c r="F860" s="314"/>
      <c r="G860" s="314"/>
      <c r="I860" s="120"/>
      <c r="P860" s="122"/>
      <c r="Q860" s="122"/>
    </row>
    <row r="861" spans="6:17" ht="14.25" customHeight="1" x14ac:dyDescent="0.3">
      <c r="F861" s="314"/>
      <c r="G861" s="314"/>
      <c r="I861" s="120"/>
      <c r="P861" s="122"/>
      <c r="Q861" s="122"/>
    </row>
    <row r="862" spans="6:17" ht="14.25" customHeight="1" x14ac:dyDescent="0.3">
      <c r="F862" s="314"/>
      <c r="G862" s="314"/>
      <c r="I862" s="120"/>
      <c r="P862" s="122"/>
      <c r="Q862" s="122"/>
    </row>
    <row r="863" spans="6:17" ht="14.25" customHeight="1" x14ac:dyDescent="0.3">
      <c r="F863" s="314"/>
      <c r="G863" s="314"/>
      <c r="I863" s="120"/>
      <c r="P863" s="122"/>
      <c r="Q863" s="122"/>
    </row>
    <row r="864" spans="6:17" ht="14.25" customHeight="1" x14ac:dyDescent="0.3">
      <c r="F864" s="314"/>
      <c r="G864" s="314"/>
      <c r="I864" s="120"/>
      <c r="P864" s="122"/>
      <c r="Q864" s="122"/>
    </row>
    <row r="865" spans="6:17" ht="14.25" customHeight="1" x14ac:dyDescent="0.3">
      <c r="F865" s="314"/>
      <c r="G865" s="314"/>
      <c r="I865" s="120"/>
      <c r="P865" s="122"/>
      <c r="Q865" s="122"/>
    </row>
    <row r="866" spans="6:17" ht="14.25" customHeight="1" x14ac:dyDescent="0.3">
      <c r="F866" s="314"/>
      <c r="G866" s="314"/>
      <c r="I866" s="120"/>
      <c r="P866" s="122"/>
      <c r="Q866" s="122"/>
    </row>
    <row r="867" spans="6:17" ht="14.25" customHeight="1" x14ac:dyDescent="0.3">
      <c r="F867" s="314"/>
      <c r="G867" s="314"/>
      <c r="I867" s="120"/>
      <c r="P867" s="122"/>
      <c r="Q867" s="122"/>
    </row>
    <row r="868" spans="6:17" ht="14.25" customHeight="1" x14ac:dyDescent="0.3">
      <c r="F868" s="314"/>
      <c r="G868" s="314"/>
      <c r="I868" s="120"/>
      <c r="P868" s="122"/>
      <c r="Q868" s="122"/>
    </row>
    <row r="869" spans="6:17" ht="14.25" customHeight="1" x14ac:dyDescent="0.3">
      <c r="F869" s="314"/>
      <c r="G869" s="314"/>
      <c r="I869" s="120"/>
      <c r="P869" s="122"/>
      <c r="Q869" s="122"/>
    </row>
    <row r="870" spans="6:17" ht="14.25" customHeight="1" x14ac:dyDescent="0.3">
      <c r="F870" s="314"/>
      <c r="G870" s="314"/>
      <c r="I870" s="120"/>
      <c r="P870" s="122"/>
      <c r="Q870" s="122"/>
    </row>
    <row r="871" spans="6:17" ht="14.25" customHeight="1" x14ac:dyDescent="0.3">
      <c r="F871" s="314"/>
      <c r="G871" s="314"/>
      <c r="I871" s="120"/>
      <c r="P871" s="122"/>
      <c r="Q871" s="122"/>
    </row>
    <row r="872" spans="6:17" ht="14.25" customHeight="1" x14ac:dyDescent="0.3">
      <c r="F872" s="314"/>
      <c r="G872" s="314"/>
      <c r="I872" s="120"/>
      <c r="P872" s="122"/>
      <c r="Q872" s="122"/>
    </row>
    <row r="873" spans="6:17" ht="14.25" customHeight="1" x14ac:dyDescent="0.3">
      <c r="F873" s="314"/>
      <c r="G873" s="314"/>
      <c r="I873" s="120"/>
      <c r="P873" s="122"/>
      <c r="Q873" s="122"/>
    </row>
    <row r="874" spans="6:17" ht="14.25" customHeight="1" x14ac:dyDescent="0.3">
      <c r="F874" s="314"/>
      <c r="G874" s="314"/>
      <c r="I874" s="120"/>
      <c r="P874" s="122"/>
      <c r="Q874" s="122"/>
    </row>
    <row r="875" spans="6:17" ht="14.25" customHeight="1" x14ac:dyDescent="0.3">
      <c r="F875" s="314"/>
      <c r="G875" s="314"/>
      <c r="I875" s="120"/>
      <c r="P875" s="122"/>
      <c r="Q875" s="122"/>
    </row>
    <row r="876" spans="6:17" ht="14.25" customHeight="1" x14ac:dyDescent="0.3">
      <c r="F876" s="314"/>
      <c r="G876" s="314"/>
      <c r="I876" s="120"/>
      <c r="P876" s="122"/>
      <c r="Q876" s="122"/>
    </row>
    <row r="877" spans="6:17" ht="14.25" customHeight="1" x14ac:dyDescent="0.3">
      <c r="F877" s="314"/>
      <c r="G877" s="314"/>
      <c r="I877" s="120"/>
      <c r="P877" s="122"/>
      <c r="Q877" s="122"/>
    </row>
    <row r="878" spans="6:17" ht="14.25" customHeight="1" x14ac:dyDescent="0.3">
      <c r="F878" s="314"/>
      <c r="G878" s="314"/>
      <c r="I878" s="120"/>
      <c r="P878" s="122"/>
      <c r="Q878" s="122"/>
    </row>
    <row r="879" spans="6:17" ht="14.25" customHeight="1" x14ac:dyDescent="0.3">
      <c r="F879" s="314"/>
      <c r="G879" s="314"/>
      <c r="I879" s="120"/>
      <c r="P879" s="122"/>
      <c r="Q879" s="122"/>
    </row>
    <row r="880" spans="6:17" ht="14.25" customHeight="1" x14ac:dyDescent="0.3">
      <c r="F880" s="314"/>
      <c r="G880" s="314"/>
      <c r="I880" s="120"/>
      <c r="P880" s="122"/>
      <c r="Q880" s="122"/>
    </row>
    <row r="881" spans="6:17" ht="14.25" customHeight="1" x14ac:dyDescent="0.3">
      <c r="F881" s="314"/>
      <c r="G881" s="314"/>
      <c r="I881" s="120"/>
      <c r="P881" s="122"/>
      <c r="Q881" s="122"/>
    </row>
    <row r="882" spans="6:17" ht="14.25" customHeight="1" x14ac:dyDescent="0.3">
      <c r="F882" s="314"/>
      <c r="G882" s="314"/>
      <c r="I882" s="120"/>
      <c r="P882" s="122"/>
      <c r="Q882" s="122"/>
    </row>
    <row r="883" spans="6:17" ht="14.25" customHeight="1" x14ac:dyDescent="0.3">
      <c r="F883" s="314"/>
      <c r="G883" s="314"/>
      <c r="I883" s="120"/>
      <c r="P883" s="122"/>
      <c r="Q883" s="122"/>
    </row>
    <row r="884" spans="6:17" ht="14.25" customHeight="1" x14ac:dyDescent="0.3">
      <c r="F884" s="314"/>
      <c r="G884" s="314"/>
      <c r="I884" s="120"/>
      <c r="P884" s="122"/>
      <c r="Q884" s="122"/>
    </row>
    <row r="885" spans="6:17" ht="14.25" customHeight="1" x14ac:dyDescent="0.3">
      <c r="F885" s="314"/>
      <c r="G885" s="314"/>
      <c r="I885" s="120"/>
      <c r="P885" s="122"/>
      <c r="Q885" s="122"/>
    </row>
    <row r="886" spans="6:17" ht="14.25" customHeight="1" x14ac:dyDescent="0.3">
      <c r="F886" s="314"/>
      <c r="G886" s="314"/>
      <c r="I886" s="120"/>
      <c r="P886" s="122"/>
      <c r="Q886" s="122"/>
    </row>
    <row r="887" spans="6:17" ht="14.25" customHeight="1" x14ac:dyDescent="0.3">
      <c r="F887" s="314"/>
      <c r="G887" s="314"/>
      <c r="I887" s="120"/>
      <c r="P887" s="122"/>
      <c r="Q887" s="122"/>
    </row>
    <row r="888" spans="6:17" ht="14.25" customHeight="1" x14ac:dyDescent="0.3">
      <c r="F888" s="314"/>
      <c r="G888" s="314"/>
      <c r="I888" s="120"/>
      <c r="P888" s="122"/>
      <c r="Q888" s="122"/>
    </row>
    <row r="889" spans="6:17" ht="14.25" customHeight="1" x14ac:dyDescent="0.3">
      <c r="F889" s="314"/>
      <c r="G889" s="314"/>
      <c r="I889" s="120"/>
      <c r="P889" s="122"/>
      <c r="Q889" s="122"/>
    </row>
    <row r="890" spans="6:17" ht="14.25" customHeight="1" x14ac:dyDescent="0.3">
      <c r="F890" s="314"/>
      <c r="G890" s="314"/>
      <c r="I890" s="120"/>
      <c r="P890" s="122"/>
      <c r="Q890" s="122"/>
    </row>
    <row r="891" spans="6:17" ht="14.25" customHeight="1" x14ac:dyDescent="0.3">
      <c r="F891" s="314"/>
      <c r="G891" s="314"/>
      <c r="I891" s="120"/>
      <c r="P891" s="122"/>
      <c r="Q891" s="122"/>
    </row>
    <row r="892" spans="6:17" ht="14.25" customHeight="1" x14ac:dyDescent="0.3">
      <c r="F892" s="314"/>
      <c r="G892" s="314"/>
      <c r="I892" s="120"/>
      <c r="P892" s="122"/>
      <c r="Q892" s="122"/>
    </row>
    <row r="893" spans="6:17" ht="14.25" customHeight="1" x14ac:dyDescent="0.3">
      <c r="F893" s="314"/>
      <c r="G893" s="314"/>
      <c r="I893" s="120"/>
      <c r="P893" s="122"/>
      <c r="Q893" s="122"/>
    </row>
    <row r="894" spans="6:17" ht="14.25" customHeight="1" x14ac:dyDescent="0.3">
      <c r="F894" s="314"/>
      <c r="G894" s="314"/>
      <c r="I894" s="120"/>
      <c r="P894" s="122"/>
      <c r="Q894" s="122"/>
    </row>
    <row r="895" spans="6:17" ht="14.25" customHeight="1" x14ac:dyDescent="0.3">
      <c r="F895" s="314"/>
      <c r="G895" s="314"/>
      <c r="I895" s="120"/>
      <c r="P895" s="122"/>
      <c r="Q895" s="122"/>
    </row>
    <row r="896" spans="6:17" ht="14.25" customHeight="1" x14ac:dyDescent="0.3">
      <c r="F896" s="314"/>
      <c r="G896" s="314"/>
      <c r="I896" s="120"/>
      <c r="P896" s="122"/>
      <c r="Q896" s="122"/>
    </row>
    <row r="897" spans="6:17" ht="14.25" customHeight="1" x14ac:dyDescent="0.3">
      <c r="F897" s="314"/>
      <c r="G897" s="314"/>
      <c r="I897" s="120"/>
      <c r="P897" s="122"/>
      <c r="Q897" s="122"/>
    </row>
    <row r="898" spans="6:17" ht="14.25" customHeight="1" x14ac:dyDescent="0.3">
      <c r="F898" s="314"/>
      <c r="G898" s="314"/>
      <c r="I898" s="120"/>
      <c r="P898" s="122"/>
      <c r="Q898" s="122"/>
    </row>
    <row r="899" spans="6:17" ht="14.25" customHeight="1" x14ac:dyDescent="0.3">
      <c r="F899" s="314"/>
      <c r="G899" s="314"/>
      <c r="I899" s="120"/>
      <c r="P899" s="122"/>
      <c r="Q899" s="122"/>
    </row>
    <row r="900" spans="6:17" ht="14.25" customHeight="1" x14ac:dyDescent="0.3">
      <c r="F900" s="314"/>
      <c r="G900" s="314"/>
      <c r="I900" s="120"/>
      <c r="P900" s="122"/>
      <c r="Q900" s="122"/>
    </row>
    <row r="901" spans="6:17" ht="14.25" customHeight="1" x14ac:dyDescent="0.3">
      <c r="F901" s="314"/>
      <c r="G901" s="314"/>
      <c r="I901" s="120"/>
      <c r="P901" s="122"/>
      <c r="Q901" s="122"/>
    </row>
    <row r="902" spans="6:17" ht="14.25" customHeight="1" x14ac:dyDescent="0.3">
      <c r="F902" s="314"/>
      <c r="G902" s="314"/>
      <c r="I902" s="120"/>
      <c r="P902" s="122"/>
      <c r="Q902" s="122"/>
    </row>
    <row r="903" spans="6:17" ht="14.25" customHeight="1" x14ac:dyDescent="0.3">
      <c r="F903" s="314"/>
      <c r="G903" s="314"/>
      <c r="I903" s="120"/>
      <c r="P903" s="122"/>
      <c r="Q903" s="122"/>
    </row>
    <row r="904" spans="6:17" ht="14.25" customHeight="1" x14ac:dyDescent="0.3">
      <c r="F904" s="314"/>
      <c r="G904" s="314"/>
      <c r="I904" s="120"/>
      <c r="P904" s="122"/>
      <c r="Q904" s="122"/>
    </row>
    <row r="905" spans="6:17" ht="14.25" customHeight="1" x14ac:dyDescent="0.3">
      <c r="F905" s="314"/>
      <c r="G905" s="314"/>
      <c r="I905" s="120"/>
      <c r="P905" s="122"/>
      <c r="Q905" s="122"/>
    </row>
    <row r="906" spans="6:17" ht="14.25" customHeight="1" x14ac:dyDescent="0.3">
      <c r="F906" s="314"/>
      <c r="G906" s="314"/>
      <c r="I906" s="120"/>
      <c r="P906" s="122"/>
      <c r="Q906" s="122"/>
    </row>
    <row r="907" spans="6:17" ht="14.25" customHeight="1" x14ac:dyDescent="0.3">
      <c r="F907" s="314"/>
      <c r="G907" s="314"/>
      <c r="I907" s="120"/>
      <c r="P907" s="122"/>
      <c r="Q907" s="122"/>
    </row>
    <row r="908" spans="6:17" ht="14.25" customHeight="1" x14ac:dyDescent="0.3">
      <c r="F908" s="314"/>
      <c r="G908" s="314"/>
      <c r="I908" s="120"/>
      <c r="P908" s="122"/>
      <c r="Q908" s="122"/>
    </row>
    <row r="909" spans="6:17" ht="14.25" customHeight="1" x14ac:dyDescent="0.3">
      <c r="F909" s="314"/>
      <c r="G909" s="314"/>
      <c r="I909" s="120"/>
      <c r="P909" s="122"/>
      <c r="Q909" s="122"/>
    </row>
    <row r="910" spans="6:17" ht="14.25" customHeight="1" x14ac:dyDescent="0.3">
      <c r="F910" s="314"/>
      <c r="G910" s="314"/>
      <c r="I910" s="120"/>
      <c r="P910" s="122"/>
      <c r="Q910" s="122"/>
    </row>
    <row r="911" spans="6:17" ht="14.25" customHeight="1" x14ac:dyDescent="0.3">
      <c r="F911" s="314"/>
      <c r="G911" s="314"/>
      <c r="I911" s="120"/>
      <c r="P911" s="122"/>
      <c r="Q911" s="122"/>
    </row>
    <row r="912" spans="6:17" ht="14.25" customHeight="1" x14ac:dyDescent="0.3">
      <c r="F912" s="314"/>
      <c r="G912" s="314"/>
      <c r="I912" s="120"/>
      <c r="P912" s="122"/>
      <c r="Q912" s="122"/>
    </row>
    <row r="913" spans="6:17" ht="14.25" customHeight="1" x14ac:dyDescent="0.3">
      <c r="F913" s="314"/>
      <c r="G913" s="314"/>
      <c r="I913" s="120"/>
      <c r="P913" s="122"/>
      <c r="Q913" s="122"/>
    </row>
    <row r="914" spans="6:17" ht="14.25" customHeight="1" x14ac:dyDescent="0.3">
      <c r="F914" s="314"/>
      <c r="G914" s="314"/>
      <c r="I914" s="120"/>
      <c r="P914" s="122"/>
      <c r="Q914" s="122"/>
    </row>
    <row r="915" spans="6:17" ht="14.25" customHeight="1" x14ac:dyDescent="0.3">
      <c r="F915" s="314"/>
      <c r="G915" s="314"/>
      <c r="I915" s="120"/>
      <c r="P915" s="122"/>
      <c r="Q915" s="122"/>
    </row>
    <row r="916" spans="6:17" ht="14.25" customHeight="1" x14ac:dyDescent="0.3">
      <c r="F916" s="314"/>
      <c r="G916" s="314"/>
      <c r="I916" s="120"/>
      <c r="P916" s="122"/>
      <c r="Q916" s="122"/>
    </row>
    <row r="917" spans="6:17" ht="14.25" customHeight="1" x14ac:dyDescent="0.3">
      <c r="F917" s="314"/>
      <c r="G917" s="314"/>
      <c r="I917" s="120"/>
      <c r="P917" s="122"/>
      <c r="Q917" s="122"/>
    </row>
    <row r="918" spans="6:17" ht="14.25" customHeight="1" x14ac:dyDescent="0.3">
      <c r="F918" s="314"/>
      <c r="G918" s="314"/>
      <c r="I918" s="120"/>
      <c r="P918" s="122"/>
      <c r="Q918" s="122"/>
    </row>
    <row r="919" spans="6:17" ht="14.25" customHeight="1" x14ac:dyDescent="0.3">
      <c r="F919" s="314"/>
      <c r="G919" s="314"/>
      <c r="I919" s="120"/>
      <c r="P919" s="122"/>
      <c r="Q919" s="122"/>
    </row>
    <row r="920" spans="6:17" ht="14.25" customHeight="1" x14ac:dyDescent="0.3">
      <c r="F920" s="314"/>
      <c r="G920" s="314"/>
      <c r="I920" s="120"/>
      <c r="P920" s="122"/>
      <c r="Q920" s="122"/>
    </row>
    <row r="921" spans="6:17" ht="14.25" customHeight="1" x14ac:dyDescent="0.3">
      <c r="F921" s="314"/>
      <c r="G921" s="314"/>
      <c r="I921" s="120"/>
      <c r="P921" s="122"/>
      <c r="Q921" s="122"/>
    </row>
    <row r="922" spans="6:17" ht="14.25" customHeight="1" x14ac:dyDescent="0.3">
      <c r="F922" s="314"/>
      <c r="G922" s="314"/>
      <c r="I922" s="120"/>
      <c r="P922" s="122"/>
      <c r="Q922" s="122"/>
    </row>
    <row r="923" spans="6:17" ht="14.25" customHeight="1" x14ac:dyDescent="0.3">
      <c r="F923" s="314"/>
      <c r="G923" s="314"/>
      <c r="I923" s="120"/>
      <c r="P923" s="122"/>
      <c r="Q923" s="122"/>
    </row>
    <row r="924" spans="6:17" ht="14.25" customHeight="1" x14ac:dyDescent="0.3">
      <c r="F924" s="314"/>
      <c r="G924" s="314"/>
      <c r="I924" s="120"/>
      <c r="P924" s="122"/>
      <c r="Q924" s="122"/>
    </row>
    <row r="925" spans="6:17" ht="14.25" customHeight="1" x14ac:dyDescent="0.3">
      <c r="F925" s="314"/>
      <c r="G925" s="314"/>
      <c r="I925" s="120"/>
      <c r="P925" s="122"/>
      <c r="Q925" s="122"/>
    </row>
    <row r="926" spans="6:17" ht="14.25" customHeight="1" x14ac:dyDescent="0.3">
      <c r="F926" s="314"/>
      <c r="G926" s="314"/>
      <c r="I926" s="120"/>
      <c r="P926" s="122"/>
      <c r="Q926" s="122"/>
    </row>
    <row r="927" spans="6:17" ht="14.25" customHeight="1" x14ac:dyDescent="0.3">
      <c r="F927" s="314"/>
      <c r="G927" s="314"/>
      <c r="I927" s="120"/>
      <c r="P927" s="122"/>
      <c r="Q927" s="122"/>
    </row>
    <row r="928" spans="6:17" ht="14.25" customHeight="1" x14ac:dyDescent="0.3">
      <c r="F928" s="314"/>
      <c r="G928" s="314"/>
      <c r="I928" s="120"/>
      <c r="P928" s="122"/>
      <c r="Q928" s="122"/>
    </row>
    <row r="929" spans="6:17" ht="14.25" customHeight="1" x14ac:dyDescent="0.3">
      <c r="F929" s="314"/>
      <c r="G929" s="314"/>
      <c r="I929" s="120"/>
      <c r="P929" s="122"/>
      <c r="Q929" s="122"/>
    </row>
    <row r="930" spans="6:17" ht="14.25" customHeight="1" x14ac:dyDescent="0.3">
      <c r="F930" s="314"/>
      <c r="G930" s="314"/>
      <c r="I930" s="120"/>
      <c r="P930" s="122"/>
      <c r="Q930" s="122"/>
    </row>
    <row r="931" spans="6:17" ht="14.25" customHeight="1" x14ac:dyDescent="0.3">
      <c r="F931" s="314"/>
      <c r="G931" s="314"/>
      <c r="I931" s="120"/>
      <c r="P931" s="122"/>
      <c r="Q931" s="122"/>
    </row>
    <row r="932" spans="6:17" ht="14.25" customHeight="1" x14ac:dyDescent="0.3">
      <c r="F932" s="314"/>
      <c r="G932" s="314"/>
      <c r="I932" s="120"/>
      <c r="P932" s="122"/>
      <c r="Q932" s="122"/>
    </row>
    <row r="933" spans="6:17" ht="14.25" customHeight="1" x14ac:dyDescent="0.3">
      <c r="F933" s="314"/>
      <c r="G933" s="314"/>
      <c r="I933" s="120"/>
      <c r="P933" s="122"/>
      <c r="Q933" s="122"/>
    </row>
    <row r="934" spans="6:17" ht="14.25" customHeight="1" x14ac:dyDescent="0.3">
      <c r="F934" s="314"/>
      <c r="G934" s="314"/>
      <c r="I934" s="120"/>
      <c r="P934" s="122"/>
      <c r="Q934" s="122"/>
    </row>
    <row r="935" spans="6:17" ht="14.25" customHeight="1" x14ac:dyDescent="0.3">
      <c r="F935" s="314"/>
      <c r="G935" s="314"/>
      <c r="I935" s="120"/>
      <c r="P935" s="122"/>
      <c r="Q935" s="122"/>
    </row>
    <row r="936" spans="6:17" ht="14.25" customHeight="1" x14ac:dyDescent="0.3">
      <c r="F936" s="314"/>
      <c r="G936" s="314"/>
      <c r="I936" s="120"/>
      <c r="P936" s="122"/>
      <c r="Q936" s="122"/>
    </row>
    <row r="937" spans="6:17" ht="14.25" customHeight="1" x14ac:dyDescent="0.3">
      <c r="F937" s="314"/>
      <c r="G937" s="314"/>
      <c r="I937" s="120"/>
      <c r="P937" s="122"/>
      <c r="Q937" s="122"/>
    </row>
    <row r="938" spans="6:17" ht="14.25" customHeight="1" x14ac:dyDescent="0.3">
      <c r="F938" s="314"/>
      <c r="G938" s="314"/>
      <c r="I938" s="120"/>
      <c r="P938" s="122"/>
      <c r="Q938" s="122"/>
    </row>
    <row r="939" spans="6:17" ht="14.25" customHeight="1" x14ac:dyDescent="0.3">
      <c r="F939" s="314"/>
      <c r="G939" s="314"/>
      <c r="I939" s="120"/>
      <c r="P939" s="122"/>
      <c r="Q939" s="122"/>
    </row>
    <row r="940" spans="6:17" ht="14.25" customHeight="1" x14ac:dyDescent="0.3">
      <c r="F940" s="314"/>
      <c r="G940" s="314"/>
      <c r="I940" s="120"/>
      <c r="P940" s="122"/>
      <c r="Q940" s="122"/>
    </row>
    <row r="941" spans="6:17" ht="14.25" customHeight="1" x14ac:dyDescent="0.3">
      <c r="F941" s="314"/>
      <c r="G941" s="314"/>
      <c r="I941" s="120"/>
      <c r="P941" s="122"/>
      <c r="Q941" s="122"/>
    </row>
    <row r="942" spans="6:17" ht="14.25" customHeight="1" x14ac:dyDescent="0.3">
      <c r="F942" s="314"/>
      <c r="G942" s="314"/>
      <c r="I942" s="120"/>
      <c r="P942" s="122"/>
      <c r="Q942" s="122"/>
    </row>
    <row r="943" spans="6:17" ht="14.25" customHeight="1" x14ac:dyDescent="0.3">
      <c r="F943" s="314"/>
      <c r="G943" s="314"/>
      <c r="I943" s="120"/>
      <c r="P943" s="122"/>
      <c r="Q943" s="122"/>
    </row>
    <row r="944" spans="6:17" ht="14.25" customHeight="1" x14ac:dyDescent="0.3">
      <c r="F944" s="314"/>
      <c r="G944" s="314"/>
      <c r="I944" s="120"/>
      <c r="P944" s="122"/>
      <c r="Q944" s="122"/>
    </row>
    <row r="945" spans="6:17" ht="14.25" customHeight="1" x14ac:dyDescent="0.3">
      <c r="F945" s="314"/>
      <c r="G945" s="314"/>
      <c r="I945" s="120"/>
      <c r="P945" s="122"/>
      <c r="Q945" s="122"/>
    </row>
    <row r="946" spans="6:17" ht="14.25" customHeight="1" x14ac:dyDescent="0.3">
      <c r="F946" s="314"/>
      <c r="G946" s="314"/>
      <c r="I946" s="120"/>
      <c r="P946" s="122"/>
      <c r="Q946" s="122"/>
    </row>
    <row r="947" spans="6:17" ht="14.25" customHeight="1" x14ac:dyDescent="0.3">
      <c r="F947" s="314"/>
      <c r="G947" s="314"/>
      <c r="I947" s="120"/>
      <c r="P947" s="122"/>
      <c r="Q947" s="122"/>
    </row>
    <row r="948" spans="6:17" ht="14.25" customHeight="1" x14ac:dyDescent="0.3">
      <c r="F948" s="314"/>
      <c r="G948" s="314"/>
      <c r="I948" s="120"/>
      <c r="P948" s="122"/>
      <c r="Q948" s="122"/>
    </row>
    <row r="949" spans="6:17" ht="14.25" customHeight="1" x14ac:dyDescent="0.3">
      <c r="F949" s="314"/>
      <c r="G949" s="314"/>
      <c r="I949" s="120"/>
      <c r="P949" s="122"/>
      <c r="Q949" s="122"/>
    </row>
    <row r="950" spans="6:17" ht="14.25" customHeight="1" x14ac:dyDescent="0.3">
      <c r="F950" s="314"/>
      <c r="G950" s="314"/>
      <c r="I950" s="120"/>
      <c r="P950" s="122"/>
      <c r="Q950" s="122"/>
    </row>
    <row r="951" spans="6:17" ht="14.25" customHeight="1" x14ac:dyDescent="0.3">
      <c r="F951" s="314"/>
      <c r="G951" s="314"/>
      <c r="I951" s="120"/>
      <c r="P951" s="122"/>
      <c r="Q951" s="122"/>
    </row>
    <row r="952" spans="6:17" ht="14.25" customHeight="1" x14ac:dyDescent="0.3">
      <c r="F952" s="314"/>
      <c r="G952" s="314"/>
      <c r="I952" s="120"/>
      <c r="P952" s="122"/>
      <c r="Q952" s="122"/>
    </row>
    <row r="953" spans="6:17" ht="14.25" customHeight="1" x14ac:dyDescent="0.3">
      <c r="F953" s="314"/>
      <c r="G953" s="314"/>
      <c r="I953" s="120"/>
      <c r="P953" s="122"/>
      <c r="Q953" s="122"/>
    </row>
    <row r="954" spans="6:17" ht="14.25" customHeight="1" x14ac:dyDescent="0.3">
      <c r="F954" s="314"/>
      <c r="G954" s="314"/>
      <c r="I954" s="120"/>
      <c r="P954" s="122"/>
      <c r="Q954" s="122"/>
    </row>
    <row r="955" spans="6:17" ht="14.25" customHeight="1" x14ac:dyDescent="0.3">
      <c r="F955" s="314"/>
      <c r="G955" s="314"/>
      <c r="I955" s="120"/>
      <c r="P955" s="122"/>
      <c r="Q955" s="122"/>
    </row>
    <row r="956" spans="6:17" ht="14.25" customHeight="1" x14ac:dyDescent="0.3">
      <c r="F956" s="314"/>
      <c r="G956" s="314"/>
      <c r="I956" s="120"/>
      <c r="P956" s="122"/>
      <c r="Q956" s="122"/>
    </row>
    <row r="957" spans="6:17" ht="14.25" customHeight="1" x14ac:dyDescent="0.3">
      <c r="F957" s="314"/>
      <c r="G957" s="314"/>
      <c r="I957" s="120"/>
      <c r="P957" s="122"/>
      <c r="Q957" s="122"/>
    </row>
    <row r="958" spans="6:17" ht="14.25" customHeight="1" x14ac:dyDescent="0.3">
      <c r="F958" s="314"/>
      <c r="G958" s="314"/>
      <c r="I958" s="120"/>
      <c r="P958" s="122"/>
      <c r="Q958" s="122"/>
    </row>
    <row r="959" spans="6:17" ht="14.25" customHeight="1" x14ac:dyDescent="0.3">
      <c r="F959" s="314"/>
      <c r="G959" s="314"/>
      <c r="I959" s="120"/>
      <c r="P959" s="122"/>
      <c r="Q959" s="122"/>
    </row>
    <row r="960" spans="6:17" ht="14.25" customHeight="1" x14ac:dyDescent="0.3">
      <c r="F960" s="314"/>
      <c r="G960" s="314"/>
      <c r="I960" s="120"/>
      <c r="P960" s="122"/>
      <c r="Q960" s="122"/>
    </row>
    <row r="961" spans="6:17" ht="14.25" customHeight="1" x14ac:dyDescent="0.3">
      <c r="F961" s="314"/>
      <c r="G961" s="314"/>
      <c r="I961" s="120"/>
      <c r="P961" s="122"/>
      <c r="Q961" s="122"/>
    </row>
    <row r="962" spans="6:17" ht="14.25" customHeight="1" x14ac:dyDescent="0.3">
      <c r="F962" s="314"/>
      <c r="G962" s="314"/>
      <c r="I962" s="120"/>
      <c r="P962" s="122"/>
      <c r="Q962" s="122"/>
    </row>
    <row r="963" spans="6:17" ht="14.25" customHeight="1" x14ac:dyDescent="0.3">
      <c r="F963" s="314"/>
      <c r="G963" s="314"/>
      <c r="I963" s="120"/>
      <c r="P963" s="122"/>
      <c r="Q963" s="122"/>
    </row>
    <row r="964" spans="6:17" ht="14.25" customHeight="1" x14ac:dyDescent="0.3">
      <c r="F964" s="314"/>
      <c r="G964" s="314"/>
      <c r="I964" s="120"/>
      <c r="P964" s="122"/>
      <c r="Q964" s="122"/>
    </row>
    <row r="965" spans="6:17" ht="14.25" customHeight="1" x14ac:dyDescent="0.3">
      <c r="F965" s="314"/>
      <c r="G965" s="314"/>
      <c r="I965" s="120"/>
      <c r="P965" s="122"/>
      <c r="Q965" s="122"/>
    </row>
    <row r="966" spans="6:17" ht="14.25" customHeight="1" x14ac:dyDescent="0.3">
      <c r="F966" s="314"/>
      <c r="G966" s="314"/>
      <c r="I966" s="120"/>
      <c r="P966" s="122"/>
      <c r="Q966" s="122"/>
    </row>
    <row r="967" spans="6:17" ht="14.25" customHeight="1" x14ac:dyDescent="0.3">
      <c r="F967" s="314"/>
      <c r="G967" s="314"/>
      <c r="I967" s="120"/>
      <c r="P967" s="122"/>
      <c r="Q967" s="122"/>
    </row>
    <row r="968" spans="6:17" ht="14.25" customHeight="1" x14ac:dyDescent="0.3">
      <c r="F968" s="314"/>
      <c r="G968" s="314"/>
      <c r="I968" s="120"/>
      <c r="P968" s="122"/>
      <c r="Q968" s="122"/>
    </row>
    <row r="969" spans="6:17" ht="14.25" customHeight="1" x14ac:dyDescent="0.3">
      <c r="F969" s="314"/>
      <c r="G969" s="314"/>
      <c r="I969" s="120"/>
      <c r="P969" s="122"/>
      <c r="Q969" s="122"/>
    </row>
    <row r="970" spans="6:17" ht="14.25" customHeight="1" x14ac:dyDescent="0.3">
      <c r="F970" s="314"/>
      <c r="G970" s="314"/>
      <c r="I970" s="120"/>
      <c r="P970" s="122"/>
      <c r="Q970" s="122"/>
    </row>
    <row r="971" spans="6:17" ht="14.25" customHeight="1" x14ac:dyDescent="0.3">
      <c r="F971" s="314"/>
      <c r="G971" s="314"/>
      <c r="I971" s="120"/>
      <c r="P971" s="122"/>
      <c r="Q971" s="122"/>
    </row>
    <row r="972" spans="6:17" ht="14.25" customHeight="1" x14ac:dyDescent="0.3">
      <c r="F972" s="314"/>
      <c r="G972" s="314"/>
      <c r="I972" s="120"/>
      <c r="P972" s="122"/>
      <c r="Q972" s="122"/>
    </row>
    <row r="973" spans="6:17" ht="14.25" customHeight="1" x14ac:dyDescent="0.3">
      <c r="F973" s="314"/>
      <c r="G973" s="314"/>
      <c r="I973" s="120"/>
      <c r="P973" s="122"/>
      <c r="Q973" s="122"/>
    </row>
    <row r="974" spans="6:17" ht="14.25" customHeight="1" x14ac:dyDescent="0.3">
      <c r="F974" s="314"/>
      <c r="G974" s="314"/>
      <c r="I974" s="120"/>
      <c r="P974" s="122"/>
      <c r="Q974" s="122"/>
    </row>
    <row r="975" spans="6:17" ht="14.25" customHeight="1" x14ac:dyDescent="0.3">
      <c r="F975" s="314"/>
      <c r="G975" s="314"/>
      <c r="I975" s="120"/>
      <c r="P975" s="122"/>
      <c r="Q975" s="122"/>
    </row>
    <row r="976" spans="6:17" ht="14.25" customHeight="1" x14ac:dyDescent="0.3">
      <c r="F976" s="314"/>
      <c r="G976" s="314"/>
      <c r="I976" s="120"/>
      <c r="P976" s="122"/>
      <c r="Q976" s="122"/>
    </row>
    <row r="977" spans="6:17" ht="14.25" customHeight="1" x14ac:dyDescent="0.3">
      <c r="F977" s="314"/>
      <c r="G977" s="314"/>
      <c r="I977" s="120"/>
      <c r="P977" s="122"/>
      <c r="Q977" s="122"/>
    </row>
    <row r="978" spans="6:17" ht="14.25" customHeight="1" x14ac:dyDescent="0.3">
      <c r="F978" s="314"/>
      <c r="G978" s="314"/>
      <c r="I978" s="120"/>
      <c r="P978" s="122"/>
      <c r="Q978" s="122"/>
    </row>
    <row r="979" spans="6:17" ht="14.25" customHeight="1" x14ac:dyDescent="0.3">
      <c r="F979" s="314"/>
      <c r="G979" s="314"/>
      <c r="I979" s="120"/>
      <c r="P979" s="122"/>
      <c r="Q979" s="122"/>
    </row>
    <row r="980" spans="6:17" ht="14.25" customHeight="1" x14ac:dyDescent="0.3">
      <c r="F980" s="314"/>
      <c r="G980" s="314"/>
      <c r="I980" s="120"/>
      <c r="P980" s="122"/>
      <c r="Q980" s="122"/>
    </row>
    <row r="981" spans="6:17" ht="14.25" customHeight="1" x14ac:dyDescent="0.3">
      <c r="F981" s="314"/>
      <c r="G981" s="314"/>
      <c r="I981" s="120"/>
      <c r="P981" s="122"/>
      <c r="Q981" s="122"/>
    </row>
    <row r="982" spans="6:17" ht="14.25" customHeight="1" x14ac:dyDescent="0.3">
      <c r="F982" s="314"/>
      <c r="G982" s="314"/>
      <c r="I982" s="120"/>
      <c r="P982" s="122"/>
      <c r="Q982" s="122"/>
    </row>
    <row r="983" spans="6:17" ht="14.25" customHeight="1" x14ac:dyDescent="0.3">
      <c r="F983" s="314"/>
      <c r="G983" s="314"/>
      <c r="I983" s="120"/>
      <c r="P983" s="122"/>
      <c r="Q983" s="122"/>
    </row>
    <row r="984" spans="6:17" ht="14.25" customHeight="1" x14ac:dyDescent="0.3">
      <c r="F984" s="314"/>
      <c r="G984" s="314"/>
      <c r="I984" s="120"/>
      <c r="P984" s="122"/>
      <c r="Q984" s="122"/>
    </row>
    <row r="985" spans="6:17" ht="14.25" customHeight="1" x14ac:dyDescent="0.3">
      <c r="F985" s="314"/>
      <c r="G985" s="314"/>
      <c r="I985" s="120"/>
      <c r="P985" s="122"/>
      <c r="Q985" s="122"/>
    </row>
    <row r="986" spans="6:17" ht="14.25" customHeight="1" x14ac:dyDescent="0.3">
      <c r="F986" s="314"/>
      <c r="G986" s="314"/>
      <c r="I986" s="120"/>
      <c r="P986" s="122"/>
      <c r="Q986" s="122"/>
    </row>
    <row r="987" spans="6:17" ht="14.25" customHeight="1" x14ac:dyDescent="0.3">
      <c r="F987" s="314"/>
      <c r="G987" s="314"/>
      <c r="I987" s="120"/>
      <c r="P987" s="122"/>
      <c r="Q987" s="122"/>
    </row>
    <row r="988" spans="6:17" ht="14.25" customHeight="1" x14ac:dyDescent="0.3">
      <c r="F988" s="314"/>
      <c r="G988" s="314"/>
      <c r="I988" s="120"/>
      <c r="P988" s="122"/>
      <c r="Q988" s="122"/>
    </row>
    <row r="989" spans="6:17" ht="14.25" customHeight="1" x14ac:dyDescent="0.3">
      <c r="F989" s="314"/>
      <c r="G989" s="314"/>
      <c r="I989" s="120"/>
      <c r="P989" s="122"/>
      <c r="Q989" s="122"/>
    </row>
    <row r="990" spans="6:17" ht="14.25" customHeight="1" x14ac:dyDescent="0.3">
      <c r="F990" s="314"/>
      <c r="G990" s="314"/>
      <c r="I990" s="120"/>
      <c r="P990" s="122"/>
      <c r="Q990" s="122"/>
    </row>
    <row r="991" spans="6:17" ht="14.25" customHeight="1" x14ac:dyDescent="0.3">
      <c r="F991" s="314"/>
      <c r="G991" s="314"/>
      <c r="I991" s="120"/>
      <c r="P991" s="122"/>
      <c r="Q991" s="122"/>
    </row>
    <row r="992" spans="6:17" ht="14.25" customHeight="1" x14ac:dyDescent="0.3">
      <c r="F992" s="314"/>
      <c r="G992" s="314"/>
      <c r="I992" s="120"/>
      <c r="P992" s="122"/>
      <c r="Q992" s="122"/>
    </row>
    <row r="993" spans="6:17" ht="14.25" customHeight="1" x14ac:dyDescent="0.3">
      <c r="F993" s="314"/>
      <c r="G993" s="314"/>
      <c r="I993" s="120"/>
      <c r="P993" s="122"/>
      <c r="Q993" s="122"/>
    </row>
    <row r="994" spans="6:17" ht="14.25" customHeight="1" x14ac:dyDescent="0.3">
      <c r="F994" s="314"/>
      <c r="G994" s="314"/>
      <c r="I994" s="120"/>
      <c r="P994" s="122"/>
      <c r="Q994" s="122"/>
    </row>
    <row r="995" spans="6:17" ht="14.25" customHeight="1" x14ac:dyDescent="0.3">
      <c r="F995" s="314"/>
      <c r="G995" s="314"/>
      <c r="I995" s="120"/>
      <c r="P995" s="122"/>
      <c r="Q995" s="122"/>
    </row>
    <row r="996" spans="6:17" ht="14.25" customHeight="1" x14ac:dyDescent="0.3">
      <c r="F996" s="314"/>
      <c r="G996" s="314"/>
      <c r="I996" s="120"/>
      <c r="P996" s="122"/>
      <c r="Q996" s="122"/>
    </row>
    <row r="997" spans="6:17" ht="14.25" customHeight="1" x14ac:dyDescent="0.3">
      <c r="F997" s="314"/>
      <c r="G997" s="314"/>
      <c r="I997" s="120"/>
      <c r="P997" s="122"/>
      <c r="Q997" s="122"/>
    </row>
    <row r="998" spans="6:17" ht="14.25" customHeight="1" x14ac:dyDescent="0.3">
      <c r="F998" s="314"/>
      <c r="G998" s="314"/>
      <c r="I998" s="120"/>
      <c r="P998" s="122"/>
      <c r="Q998" s="122"/>
    </row>
    <row r="999" spans="6:17" ht="14.25" customHeight="1" x14ac:dyDescent="0.3">
      <c r="F999" s="314"/>
      <c r="G999" s="314"/>
      <c r="I999" s="120"/>
      <c r="P999" s="122"/>
      <c r="Q999" s="122"/>
    </row>
    <row r="1000" spans="6:17" ht="14.25" customHeight="1" x14ac:dyDescent="0.3">
      <c r="F1000" s="314"/>
      <c r="G1000" s="314"/>
      <c r="I1000" s="120"/>
      <c r="P1000" s="122"/>
      <c r="Q1000" s="122"/>
    </row>
  </sheetData>
  <mergeCells count="11">
    <mergeCell ref="A18:A23"/>
    <mergeCell ref="B33:C40"/>
    <mergeCell ref="B50:C57"/>
    <mergeCell ref="A59:C63"/>
    <mergeCell ref="A1:Q1"/>
    <mergeCell ref="O2:P2"/>
    <mergeCell ref="A3:G3"/>
    <mergeCell ref="A4:B4"/>
    <mergeCell ref="D4:F4"/>
    <mergeCell ref="A6:A12"/>
    <mergeCell ref="A13:A17"/>
  </mergeCells>
  <pageMargins left="0.19685039370078741" right="0.15748031496062992" top="0.82677165354330717" bottom="0.15748031496062992" header="0" footer="0"/>
  <pageSetup paperSize="9" orientation="landscape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VIABILIDADE</vt:lpstr>
      <vt:lpstr> COMP.MAXFIO</vt:lpstr>
      <vt:lpstr>COMP.AUTOFLEX</vt:lpstr>
      <vt:lpstr>COMP.ALFA (2)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Gerlandia</dc:creator>
  <cp:lastModifiedBy>Maria da Gloria Itamar Cunha</cp:lastModifiedBy>
  <dcterms:created xsi:type="dcterms:W3CDTF">2018-02-04T21:01:15Z</dcterms:created>
  <dcterms:modified xsi:type="dcterms:W3CDTF">2026-01-07T18:44:34Z</dcterms:modified>
</cp:coreProperties>
</file>